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bca/"/>
    </mc:Choice>
  </mc:AlternateContent>
  <xr:revisionPtr revIDLastSave="0" documentId="13_ncr:1_{55C49171-CE72-4E4D-AA6D-EAC6DB2279E8}" xr6:coauthVersionLast="36" xr6:coauthVersionMax="36" xr10:uidLastSave="{00000000-0000-0000-0000-000000000000}"/>
  <bookViews>
    <workbookView xWindow="4460" yWindow="2720" windowWidth="27640" windowHeight="16940" activeTab="1" xr2:uid="{00000000-000D-0000-FFFF-FFFF00000000}"/>
  </bookViews>
  <sheets>
    <sheet name="SA_BCA_02_18_21_Plate_1_ReRun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L13" i="2"/>
  <c r="L14" i="2"/>
  <c r="L15" i="2"/>
  <c r="L16" i="2"/>
  <c r="L17" i="2"/>
  <c r="L12" i="2"/>
  <c r="K12" i="2"/>
  <c r="J13" i="2"/>
  <c r="J14" i="2"/>
  <c r="J15" i="2"/>
  <c r="J16" i="2"/>
  <c r="J17" i="2"/>
  <c r="J12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13" i="2"/>
  <c r="H14" i="2"/>
  <c r="H15" i="2"/>
  <c r="H16" i="2"/>
  <c r="H17" i="2"/>
  <c r="H12" i="2"/>
  <c r="I18" i="2"/>
  <c r="F30" i="2" l="1"/>
  <c r="E13" i="2"/>
  <c r="F13" i="2" s="1"/>
  <c r="G13" i="2" s="1"/>
  <c r="E14" i="2"/>
  <c r="F14" i="2"/>
  <c r="G14" i="2"/>
  <c r="E15" i="2"/>
  <c r="F15" i="2"/>
  <c r="G15" i="2"/>
  <c r="E16" i="2"/>
  <c r="F16" i="2"/>
  <c r="G16" i="2"/>
  <c r="E17" i="2"/>
  <c r="F17" i="2"/>
  <c r="G17" i="2" s="1"/>
  <c r="E18" i="2"/>
  <c r="F18" i="2"/>
  <c r="G18" i="2"/>
  <c r="E19" i="2"/>
  <c r="F19" i="2"/>
  <c r="G19" i="2"/>
  <c r="E20" i="2"/>
  <c r="F20" i="2"/>
  <c r="G20" i="2"/>
  <c r="E21" i="2"/>
  <c r="F21" i="2"/>
  <c r="G21" i="2" s="1"/>
  <c r="E22" i="2"/>
  <c r="F22" i="2"/>
  <c r="G22" i="2"/>
  <c r="E23" i="2"/>
  <c r="F23" i="2"/>
  <c r="G23" i="2" s="1"/>
  <c r="E24" i="2"/>
  <c r="F24" i="2"/>
  <c r="G24" i="2"/>
  <c r="E25" i="2"/>
  <c r="F25" i="2"/>
  <c r="G25" i="2" s="1"/>
  <c r="E26" i="2"/>
  <c r="F26" i="2"/>
  <c r="G26" i="2"/>
  <c r="E27" i="2"/>
  <c r="F27" i="2"/>
  <c r="G27" i="2"/>
  <c r="E28" i="2"/>
  <c r="F28" i="2"/>
  <c r="G28" i="2"/>
  <c r="E29" i="2"/>
  <c r="F29" i="2"/>
  <c r="G29" i="2" s="1"/>
  <c r="E30" i="2"/>
  <c r="G30" i="2"/>
  <c r="E31" i="2"/>
  <c r="F31" i="2"/>
  <c r="G31" i="2"/>
  <c r="E32" i="2"/>
  <c r="F32" i="2"/>
  <c r="G32" i="2" s="1"/>
  <c r="E33" i="2"/>
  <c r="F33" i="2"/>
  <c r="G33" i="2" s="1"/>
  <c r="E34" i="2"/>
  <c r="F34" i="2"/>
  <c r="G34" i="2"/>
  <c r="E35" i="2"/>
  <c r="F35" i="2"/>
  <c r="G35" i="2" s="1"/>
  <c r="G12" i="2"/>
  <c r="F12" i="2"/>
  <c r="E12" i="2"/>
  <c r="C3" i="1" l="1"/>
  <c r="C26" i="1"/>
  <c r="C44" i="1"/>
  <c r="C62" i="1"/>
  <c r="C80" i="1"/>
  <c r="E106" i="1"/>
</calcChain>
</file>

<file path=xl/sharedStrings.xml><?xml version="1.0" encoding="utf-8"?>
<sst xmlns="http://schemas.openxmlformats.org/spreadsheetml/2006/main" count="619" uniqueCount="258">
  <si>
    <t xml:space="preserve">Plate information </t>
  </si>
  <si>
    <t>Plate</t>
  </si>
  <si>
    <t>Repeat</t>
  </si>
  <si>
    <t>Barcode</t>
  </si>
  <si>
    <t>Formula</t>
  </si>
  <si>
    <t>Inside temperature at start</t>
  </si>
  <si>
    <t>Inside temperature at end</t>
  </si>
  <si>
    <t>Ambient temperature at start</t>
  </si>
  <si>
    <t>Ambient temperature at end</t>
  </si>
  <si>
    <t>Measurement date</t>
  </si>
  <si>
    <t>Calc 1: Blank correction (Blanks on each plate) = X - B where X = Meas B B = Average of Blanks</t>
  </si>
  <si>
    <t>N/A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</si>
  <si>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</si>
  <si>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</si>
  <si>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</si>
  <si>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</si>
  <si>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</si>
  <si>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</si>
  <si>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</si>
  <si>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Meas B</t>
  </si>
  <si>
    <t>De=1st Ex=Btm Em=N/A</t>
  </si>
  <si>
    <t>Calculated results: Calc 1: Blank correction (Blanks on each plate) = X - B where X = Meas B B = Average of Blanks</t>
  </si>
  <si>
    <t>A</t>
  </si>
  <si>
    <t>B</t>
  </si>
  <si>
    <t>C</t>
  </si>
  <si>
    <t>D</t>
  </si>
  <si>
    <t>E</t>
  </si>
  <si>
    <t>F</t>
  </si>
  <si>
    <t>G</t>
  </si>
  <si>
    <t>H</t>
  </si>
  <si>
    <t xml:space="preserve">Curve information - Curve quality data </t>
  </si>
  <si>
    <t>Slope at 50% binding</t>
  </si>
  <si>
    <t>Intercept</t>
  </si>
  <si>
    <t>ED-20</t>
  </si>
  <si>
    <t>ED-50</t>
  </si>
  <si>
    <t>ED-80</t>
  </si>
  <si>
    <t>Correlation coefficient (R)</t>
  </si>
  <si>
    <t>Forced through origo</t>
  </si>
  <si>
    <t>Fitting status</t>
  </si>
  <si>
    <t>Calc 2: Curve fitting (blank corrected) = Curve fitting UNK calculation (blank corrected) where Measurement: Calc1: Blank correction (Blanks on each plate)</t>
  </si>
  <si>
    <t>No</t>
  </si>
  <si>
    <t>OK</t>
  </si>
  <si>
    <t>Calculated results: Calc 2: Curve fitting (blank corrected) = Curve fitting UNK calculation (blank corrected) where Measurement: Calc1: Blank correction (Blanks on each plate)</t>
  </si>
  <si>
    <t>Calc 3: Average of sample type = Average of samples where Measurement: Calc2: Curve fitting (blank corrected)  Sample: All samples</t>
  </si>
  <si>
    <t>Calculated results: Calc 3: Average of sample type = Average of samples where Measurement: Calc2: Curve fitting (blank corrected)  Sample: All samples</t>
  </si>
  <si>
    <t>Calc 4: %CV of sample type = 100 * SD / AVG where SD = Standard deviation of samples AVG = Average of samples Measurement: Calc2: Curve fitting (blank corrected)  Sample: All samples</t>
  </si>
  <si>
    <t>Calculated results: Calc 4: %CV of sample type = 100 * SD / AVG where SD = Standard deviation of samples AVG = Average of samples Measurement: Calc2: Curve fitting (blank corrected)  Sample: All samples</t>
  </si>
  <si>
    <t>Meas</t>
  </si>
  <si>
    <t>ScanX</t>
  </si>
  <si>
    <t>ScanY</t>
  </si>
  <si>
    <t>Measinfo</t>
  </si>
  <si>
    <t>Kinetics</t>
  </si>
  <si>
    <t>Results for Meas B -  (A)</t>
  </si>
  <si>
    <t xml:space="preserve">Basic assay information 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</si>
  <si>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</si>
  <si>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</si>
  <si>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</si>
  <si>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</si>
  <si>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Assay Started By: </t>
  </si>
  <si>
    <t xml:space="preserve">Protocol ID: </t>
  </si>
  <si>
    <t xml:space="preserve">Protocol Name: </t>
  </si>
  <si>
    <t>Sameer Aryal BCA Gold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</si>
  <si>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</si>
  <si>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</si>
  <si>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</si>
  <si>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</si>
  <si>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</si>
  <si>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</si>
  <si>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</si>
  <si>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</si>
  <si>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Mode of measurement</t>
  </si>
  <si>
    <t>By Rows 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</si>
  <si>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</si>
  <si>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</si>
  <si>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</si>
  <si>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</si>
  <si>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</si>
  <si>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</si>
  <si>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96 General</t>
  </si>
  <si>
    <t>Number of rows</t>
  </si>
  <si>
    <t>Number of columns</t>
  </si>
  <si>
    <t>Number of the wells in the plate</t>
  </si>
  <si>
    <t>Height of the plate</t>
  </si>
  <si>
    <t>14.35 mm</t>
  </si>
  <si>
    <t>Diameter of the well</t>
  </si>
  <si>
    <t>6.5 mm</t>
  </si>
  <si>
    <t>Volume of the well</t>
  </si>
  <si>
    <t>300 µl</t>
  </si>
  <si>
    <t>Coordinates of corners:</t>
  </si>
  <si>
    <t>14.38 mm x------------------------------------------------------ x 113.38 mm</t>
  </si>
  <si>
    <t>11.24 mm                                                           11.24 mm</t>
  </si>
  <si>
    <t>74.24 mm                                                           74.24 mm</t>
  </si>
  <si>
    <t>Platemap:</t>
  </si>
  <si>
    <t xml:space="preserve">STD1 </t>
  </si>
  <si>
    <t xml:space="preserve">STD9 </t>
  </si>
  <si>
    <t xml:space="preserve">UNK7 </t>
  </si>
  <si>
    <t>UNK15</t>
  </si>
  <si>
    <t>UNK23</t>
  </si>
  <si>
    <t xml:space="preserve">     </t>
  </si>
  <si>
    <t xml:space="preserve">STD2 </t>
  </si>
  <si>
    <t xml:space="preserve">BL   </t>
  </si>
  <si>
    <t xml:space="preserve">UNK8 </t>
  </si>
  <si>
    <t>UNK16</t>
  </si>
  <si>
    <t>UNK24</t>
  </si>
  <si>
    <t xml:space="preserve">STD3 </t>
  </si>
  <si>
    <t xml:space="preserve">UNK1 </t>
  </si>
  <si>
    <t xml:space="preserve">UNK9 </t>
  </si>
  <si>
    <t>UNK17</t>
  </si>
  <si>
    <t xml:space="preserve">STD4 </t>
  </si>
  <si>
    <t xml:space="preserve">UNK2 </t>
  </si>
  <si>
    <t>UNK10</t>
  </si>
  <si>
    <t>UNK18</t>
  </si>
  <si>
    <t xml:space="preserve">STD5 </t>
  </si>
  <si>
    <t xml:space="preserve">UNK3 </t>
  </si>
  <si>
    <t>UNK11</t>
  </si>
  <si>
    <t>UNK19</t>
  </si>
  <si>
    <t xml:space="preserve">STD6 </t>
  </si>
  <si>
    <t xml:space="preserve">UNK4 </t>
  </si>
  <si>
    <t>UNK12</t>
  </si>
  <si>
    <t>UNK20</t>
  </si>
  <si>
    <t xml:space="preserve">STD7 </t>
  </si>
  <si>
    <t xml:space="preserve">UNK5 </t>
  </si>
  <si>
    <t>UNK13</t>
  </si>
  <si>
    <t>UNK21</t>
  </si>
  <si>
    <t xml:space="preserve">STD8 </t>
  </si>
  <si>
    <t xml:space="preserve">UNK6 </t>
  </si>
  <si>
    <t>UNK14</t>
  </si>
  <si>
    <t>UNK22</t>
  </si>
  <si>
    <t xml:space="preserve"> STD - Standard</t>
  </si>
  <si>
    <t xml:space="preserve"> UNK - Unknown</t>
  </si>
  <si>
    <t xml:space="preserve"> BL - Blank</t>
  </si>
  <si>
    <t>Calculations:</t>
  </si>
  <si>
    <t xml:space="preserve"> Formula index</t>
  </si>
  <si>
    <t>Calc 1</t>
  </si>
  <si>
    <t xml:space="preserve"> Formula name</t>
  </si>
  <si>
    <t>Blank correction (Blanks on each plate)</t>
  </si>
  <si>
    <t xml:space="preserve"> Formula</t>
  </si>
  <si>
    <t>Blank correction (Blanks on each plate) where X = B B = Average of Blanks</t>
  </si>
  <si>
    <t>Calc 2</t>
  </si>
  <si>
    <t>Curve fitting (blank corrected)</t>
  </si>
  <si>
    <t>Curve fitting (blank corrected) where Measurement: Calc 1: Blank correction (Blanks on each plate)</t>
  </si>
  <si>
    <t xml:space="preserve"> Fitting</t>
  </si>
  <si>
    <t>Linear regression</t>
  </si>
  <si>
    <t xml:space="preserve"> Method Options</t>
  </si>
  <si>
    <t>Unweighted</t>
  </si>
  <si>
    <t xml:space="preserve"> Curve direction</t>
  </si>
  <si>
    <t>Indefinite</t>
  </si>
  <si>
    <t xml:space="preserve"> Use Outliers</t>
  </si>
  <si>
    <t xml:space="preserve"> X-axis transformation</t>
  </si>
  <si>
    <t>None</t>
  </si>
  <si>
    <t xml:space="preserve"> Y-axis transformation</t>
  </si>
  <si>
    <t xml:space="preserve"> STD1</t>
  </si>
  <si>
    <t xml:space="preserve"> STD2</t>
  </si>
  <si>
    <t xml:space="preserve"> STD3</t>
  </si>
  <si>
    <t xml:space="preserve"> STD4</t>
  </si>
  <si>
    <t xml:space="preserve"> STD5</t>
  </si>
  <si>
    <t xml:space="preserve"> STD6</t>
  </si>
  <si>
    <t xml:space="preserve"> STD7</t>
  </si>
  <si>
    <t xml:space="preserve"> STD8</t>
  </si>
  <si>
    <t xml:space="preserve"> STD9</t>
  </si>
  <si>
    <t xml:space="preserve"> Formula unit</t>
  </si>
  <si>
    <t>Calc 3</t>
  </si>
  <si>
    <t>Average of sample type</t>
  </si>
  <si>
    <t>Average of samples where Measurement: Calc 2: Curve fitting (blank corrected)  Sample: All samples</t>
  </si>
  <si>
    <t>Calc 4</t>
  </si>
  <si>
    <t>%CV of sample type</t>
  </si>
  <si>
    <t>100 * SD / AVG where SD = Standard deviation of samples AVG = Average of samples Measurement: Calc 2: Curve fitting (blank corrected)  Sample: All samples</t>
  </si>
  <si>
    <t>Auto export parameters:</t>
  </si>
  <si>
    <t>Export format</t>
  </si>
  <si>
    <t>Plate5</t>
  </si>
  <si>
    <t>Picture</t>
  </si>
  <si>
    <t>Add plate number to the file name</t>
  </si>
  <si>
    <t>Yes</t>
  </si>
  <si>
    <t>Each plate to separate file</t>
  </si>
  <si>
    <t>Field separator to use</t>
  </si>
  <si>
    <t>System</t>
  </si>
  <si>
    <t>File name format</t>
  </si>
  <si>
    <t>Z:\SameerAryal\SA_BCA_02_18_21_Plate_1_ReRun.csv</t>
  </si>
  <si>
    <t>Exported data</t>
  </si>
  <si>
    <t>MeasB:Result Calc1:Blank correction (Blanks on each plate) Calc2:Curve fitting (blank corrected) Calc3:Average of sample type Calc4:%CV of sample type</t>
  </si>
  <si>
    <t>Operations:</t>
  </si>
  <si>
    <t>Plate 1</t>
  </si>
  <si>
    <t xml:space="preserve">  Shake</t>
  </si>
  <si>
    <t xml:space="preserve">    Duration</t>
  </si>
  <si>
    <t>60 s</t>
  </si>
  <si>
    <t xml:space="preserve">    Speed</t>
  </si>
  <si>
    <t xml:space="preserve">    Diameter</t>
  </si>
  <si>
    <t>3 mm</t>
  </si>
  <si>
    <t xml:space="preserve">    Shake mode</t>
  </si>
  <si>
    <t>Linear</t>
  </si>
  <si>
    <t xml:space="preserve">    Plate location</t>
  </si>
  <si>
    <t>Inside</t>
  </si>
  <si>
    <t xml:space="preserve">    First assay/plate repeat affected</t>
  </si>
  <si>
    <t xml:space="preserve">    Last assay/plate repeat affected</t>
  </si>
  <si>
    <t xml:space="preserve">  Measurement</t>
  </si>
  <si>
    <t xml:space="preserve">    Meas</t>
  </si>
  <si>
    <t xml:space="preserve">    Tech</t>
  </si>
  <si>
    <t>Absorbance</t>
  </si>
  <si>
    <t>Measurements:</t>
  </si>
  <si>
    <t xml:space="preserve">Meas </t>
  </si>
  <si>
    <t>Exc. filter</t>
  </si>
  <si>
    <t>Excitation wavelength</t>
  </si>
  <si>
    <t>480 nm</t>
  </si>
  <si>
    <t>Measurement height</t>
  </si>
  <si>
    <t>7.5 mm</t>
  </si>
  <si>
    <t>Number of flashes</t>
  </si>
  <si>
    <t>Number of flashes integrated</t>
  </si>
  <si>
    <t>Flash power</t>
  </si>
  <si>
    <t>Excitation light</t>
  </si>
  <si>
    <t>Reference excitation light</t>
  </si>
  <si>
    <t>Reference AD gain</t>
  </si>
  <si>
    <t>Reference signal</t>
  </si>
  <si>
    <t>Last edited</t>
  </si>
  <si>
    <t>Last edited by</t>
  </si>
  <si>
    <t>EnSpire</t>
  </si>
  <si>
    <t>Factory preset</t>
  </si>
  <si>
    <t>Filters:</t>
  </si>
  <si>
    <t>Monochromator cutoff 230</t>
  </si>
  <si>
    <t>Filter polarization</t>
  </si>
  <si>
    <t>Description</t>
  </si>
  <si>
    <t>X230co Longpass=230nm  Tmin=90%</t>
  </si>
  <si>
    <t>Used with</t>
  </si>
  <si>
    <t>Installation</t>
  </si>
  <si>
    <t>Monochromator cutoff 360</t>
  </si>
  <si>
    <t>X360co Longpass=360nm  Tmin=90%</t>
  </si>
  <si>
    <t>Monochromator cutoff 585</t>
  </si>
  <si>
    <t>X585co Longpass=585nm  Tmin=75%</t>
  </si>
  <si>
    <t>Instrument:</t>
  </si>
  <si>
    <t>Serial number</t>
  </si>
  <si>
    <t>Nickname</t>
  </si>
  <si>
    <t>Exported with EnSpire Workstation version 4.13.3005.1482</t>
  </si>
  <si>
    <t>S1</t>
  </si>
  <si>
    <t>S2</t>
  </si>
  <si>
    <t>S3</t>
  </si>
  <si>
    <t>S4</t>
  </si>
  <si>
    <t>S5</t>
  </si>
  <si>
    <t>S6</t>
  </si>
  <si>
    <t>Nuc</t>
  </si>
  <si>
    <t>Extract</t>
  </si>
  <si>
    <t>Vol used</t>
  </si>
  <si>
    <t>Accouting for dilution</t>
  </si>
  <si>
    <t>To load 5 ug</t>
  </si>
  <si>
    <t>In ug ul</t>
  </si>
  <si>
    <t>2 ug</t>
  </si>
  <si>
    <t>P2</t>
  </si>
  <si>
    <t>PSD</t>
  </si>
  <si>
    <t>Gel 2</t>
  </si>
  <si>
    <t>Male</t>
  </si>
  <si>
    <t>Gel 1</t>
  </si>
  <si>
    <t>Female</t>
  </si>
  <si>
    <t>10 ug</t>
  </si>
  <si>
    <t>To load 2ug</t>
  </si>
  <si>
    <t>To load 10 ug</t>
  </si>
  <si>
    <t>100 ul of 2ug/5ul lysate</t>
  </si>
  <si>
    <t>Volume of 6x sample buffer</t>
  </si>
  <si>
    <t>Volume water</t>
  </si>
  <si>
    <t>Ctx</t>
  </si>
  <si>
    <t>4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</si>
</sst>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47" fontId="0" fillId="0" borderId="0" xfId="0" applyNumberFormat="1"/>
    <xf numFmtId="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"/>
  <sheetViews>
    <sheetView topLeftCell="A34" workbookViewId="0">
      <selection activeCell="A50" sqref="A50:K58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3" x14ac:dyDescent="0.2">
      <c r="A3">
        <v>1</v>
      </c>
      <c r="B3">
        <v>1</v>
      </c>
      <c r="C3" t="str">
        <f>""</f>
        <v/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I3" s="1">
        <v>44245.517974537041</v>
      </c>
    </row>
    <row r="5" spans="1:13" x14ac:dyDescent="0.2">
      <c r="A5" t="s">
        <v>12</v>
      </c>
    </row>
    <row r="6" spans="1:13" x14ac:dyDescent="0.2">
      <c r="A6" t="s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13" x14ac:dyDescent="0.2">
      <c r="A7">
        <v>1</v>
      </c>
      <c r="B7" t="s">
        <v>19</v>
      </c>
      <c r="C7">
        <v>0</v>
      </c>
      <c r="D7">
        <v>308586</v>
      </c>
      <c r="E7">
        <v>9</v>
      </c>
      <c r="F7" s="2">
        <v>0</v>
      </c>
      <c r="G7" t="s">
        <v>20</v>
      </c>
    </row>
    <row r="9" spans="1:13" x14ac:dyDescent="0.2">
      <c r="A9" t="s">
        <v>21</v>
      </c>
    </row>
    <row r="10" spans="1:13" x14ac:dyDescent="0.2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22</v>
      </c>
      <c r="B11">
        <v>1.8460000000000001</v>
      </c>
      <c r="C11">
        <v>1.833</v>
      </c>
      <c r="D11">
        <v>4.0000000000000001E-3</v>
      </c>
      <c r="E11">
        <v>4.0000000000000001E-3</v>
      </c>
      <c r="F11">
        <v>0.97</v>
      </c>
      <c r="G11">
        <v>0.99099999999999999</v>
      </c>
      <c r="H11">
        <v>0.45800000000000002</v>
      </c>
      <c r="I11">
        <v>0.44</v>
      </c>
      <c r="J11">
        <v>0.505</v>
      </c>
      <c r="K11">
        <v>0.53400000000000003</v>
      </c>
    </row>
    <row r="12" spans="1:13" x14ac:dyDescent="0.2">
      <c r="A12" t="s">
        <v>23</v>
      </c>
      <c r="B12">
        <v>1.399</v>
      </c>
      <c r="C12">
        <v>1.3879999999999999</v>
      </c>
      <c r="D12">
        <v>1E-3</v>
      </c>
      <c r="E12">
        <v>-1E-3</v>
      </c>
      <c r="F12">
        <v>1.0389999999999999</v>
      </c>
      <c r="G12">
        <v>1.054</v>
      </c>
      <c r="H12">
        <v>0.34799999999999998</v>
      </c>
      <c r="I12">
        <v>0.34699999999999998</v>
      </c>
      <c r="J12">
        <v>0.59199999999999997</v>
      </c>
      <c r="K12">
        <v>0.626</v>
      </c>
    </row>
    <row r="13" spans="1:13" x14ac:dyDescent="0.2">
      <c r="A13" t="s">
        <v>24</v>
      </c>
      <c r="B13">
        <v>0.95099999999999996</v>
      </c>
      <c r="C13">
        <v>0.95799999999999996</v>
      </c>
      <c r="D13">
        <v>1.2989999999999999</v>
      </c>
      <c r="E13">
        <v>1.7150000000000001</v>
      </c>
      <c r="F13">
        <v>0.90400000000000003</v>
      </c>
      <c r="G13">
        <v>0.93200000000000005</v>
      </c>
      <c r="H13">
        <v>0.38800000000000001</v>
      </c>
      <c r="I13">
        <v>0.38900000000000001</v>
      </c>
    </row>
    <row r="14" spans="1:13" x14ac:dyDescent="0.2">
      <c r="A14" t="s">
        <v>25</v>
      </c>
      <c r="B14">
        <v>0.73599999999999999</v>
      </c>
      <c r="C14">
        <v>0.70099999999999996</v>
      </c>
      <c r="D14">
        <v>1.7130000000000001</v>
      </c>
      <c r="E14">
        <v>1.7529999999999999</v>
      </c>
      <c r="F14">
        <v>0.92100000000000004</v>
      </c>
      <c r="G14">
        <v>0.94799999999999995</v>
      </c>
      <c r="H14">
        <v>0.47099999999999997</v>
      </c>
      <c r="I14">
        <v>0.50600000000000001</v>
      </c>
    </row>
    <row r="15" spans="1:13" x14ac:dyDescent="0.2">
      <c r="A15" t="s">
        <v>26</v>
      </c>
      <c r="B15">
        <v>0.5</v>
      </c>
      <c r="C15">
        <v>0.46600000000000003</v>
      </c>
      <c r="D15">
        <v>1.26</v>
      </c>
      <c r="E15">
        <v>1.278</v>
      </c>
      <c r="F15">
        <v>0.89900000000000002</v>
      </c>
      <c r="G15">
        <v>0.88900000000000001</v>
      </c>
      <c r="H15">
        <v>0.39500000000000002</v>
      </c>
      <c r="I15">
        <v>0.39800000000000002</v>
      </c>
    </row>
    <row r="16" spans="1:13" x14ac:dyDescent="0.2">
      <c r="A16" t="s">
        <v>27</v>
      </c>
      <c r="B16">
        <v>0.255</v>
      </c>
      <c r="C16">
        <v>0.221</v>
      </c>
      <c r="D16">
        <v>1.3640000000000001</v>
      </c>
      <c r="E16">
        <v>1.4870000000000001</v>
      </c>
      <c r="F16">
        <v>1.0309999999999999</v>
      </c>
      <c r="G16">
        <v>1.0209999999999999</v>
      </c>
      <c r="H16">
        <v>0.55800000000000005</v>
      </c>
      <c r="I16">
        <v>0.56399999999999995</v>
      </c>
    </row>
    <row r="17" spans="1:13" x14ac:dyDescent="0.2">
      <c r="A17" t="s">
        <v>28</v>
      </c>
      <c r="B17">
        <v>0.13</v>
      </c>
      <c r="C17">
        <v>0.113</v>
      </c>
      <c r="D17">
        <v>1.4079999999999999</v>
      </c>
      <c r="E17">
        <v>1.415</v>
      </c>
      <c r="F17">
        <v>0.30499999999999999</v>
      </c>
      <c r="G17">
        <v>0.317</v>
      </c>
      <c r="H17">
        <v>0.53800000000000003</v>
      </c>
      <c r="I17">
        <v>0.58899999999999997</v>
      </c>
    </row>
    <row r="18" spans="1:13" x14ac:dyDescent="0.2">
      <c r="A18" t="s">
        <v>29</v>
      </c>
      <c r="B18">
        <v>3.3000000000000002E-2</v>
      </c>
      <c r="C18">
        <v>1.4999999999999999E-2</v>
      </c>
      <c r="D18">
        <v>1.3069999999999999</v>
      </c>
      <c r="E18">
        <v>1.371</v>
      </c>
      <c r="F18">
        <v>0.46700000000000003</v>
      </c>
      <c r="G18">
        <v>0.47499999999999998</v>
      </c>
      <c r="H18">
        <v>0.46600000000000003</v>
      </c>
      <c r="I18">
        <v>0.496</v>
      </c>
    </row>
    <row r="20" spans="1:13" x14ac:dyDescent="0.2">
      <c r="A20" t="s">
        <v>30</v>
      </c>
    </row>
    <row r="21" spans="1:13" x14ac:dyDescent="0.2">
      <c r="A21" t="s">
        <v>4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</row>
    <row r="22" spans="1:13" x14ac:dyDescent="0.2">
      <c r="A22" t="s">
        <v>39</v>
      </c>
      <c r="B22">
        <v>9.2215487E-4</v>
      </c>
      <c r="C22">
        <v>1.1694171160000001E-2</v>
      </c>
      <c r="D22">
        <v>386.27549434299999</v>
      </c>
      <c r="E22">
        <v>984.710764896</v>
      </c>
      <c r="F22">
        <v>1583.14603545</v>
      </c>
      <c r="G22">
        <v>0.99981215167000004</v>
      </c>
      <c r="H22" t="s">
        <v>40</v>
      </c>
      <c r="I22" t="s">
        <v>41</v>
      </c>
    </row>
    <row r="24" spans="1:13" x14ac:dyDescent="0.2">
      <c r="A24" t="s">
        <v>0</v>
      </c>
    </row>
    <row r="25" spans="1:13" x14ac:dyDescent="0.2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</row>
    <row r="26" spans="1:13" x14ac:dyDescent="0.2">
      <c r="A26">
        <v>1</v>
      </c>
      <c r="B26">
        <v>1</v>
      </c>
      <c r="C26" t="str">
        <f>""</f>
        <v/>
      </c>
      <c r="D26" t="s">
        <v>39</v>
      </c>
      <c r="E26" t="s">
        <v>11</v>
      </c>
      <c r="F26" t="s">
        <v>11</v>
      </c>
      <c r="G26" t="s">
        <v>11</v>
      </c>
      <c r="H26" t="s">
        <v>11</v>
      </c>
      <c r="I26" s="1">
        <v>44245.517974537041</v>
      </c>
    </row>
    <row r="28" spans="1:13" x14ac:dyDescent="0.2">
      <c r="A28" t="s">
        <v>12</v>
      </c>
    </row>
    <row r="29" spans="1:13" x14ac:dyDescent="0.2">
      <c r="A29" t="s">
        <v>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</row>
    <row r="31" spans="1:13" x14ac:dyDescent="0.2">
      <c r="A31" t="s">
        <v>42</v>
      </c>
    </row>
    <row r="32" spans="1:13" x14ac:dyDescent="0.2"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1" x14ac:dyDescent="0.2">
      <c r="A33" t="s">
        <v>22</v>
      </c>
      <c r="B33">
        <v>1989.1515900300001</v>
      </c>
      <c r="C33">
        <v>1975.0541749399999</v>
      </c>
      <c r="D33">
        <v>-8.3436865114999996</v>
      </c>
      <c r="E33">
        <v>-8.3436865114999996</v>
      </c>
      <c r="F33">
        <v>1039.2026963000001</v>
      </c>
      <c r="G33">
        <v>1061.9754437500001</v>
      </c>
      <c r="H33">
        <v>483.98142507900002</v>
      </c>
      <c r="I33">
        <v>464.46192726300001</v>
      </c>
      <c r="J33">
        <v>534.94900271100005</v>
      </c>
      <c r="K33">
        <v>566.39708252599996</v>
      </c>
    </row>
    <row r="34" spans="1:11" x14ac:dyDescent="0.2">
      <c r="A34" t="s">
        <v>23</v>
      </c>
      <c r="B34">
        <v>1504.41739426</v>
      </c>
      <c r="C34">
        <v>1492.48881226</v>
      </c>
      <c r="D34">
        <v>-11.596936147999999</v>
      </c>
      <c r="E34">
        <v>-13.765769238000001</v>
      </c>
      <c r="F34">
        <v>1114.0274379299999</v>
      </c>
      <c r="G34">
        <v>1130.29368611</v>
      </c>
      <c r="H34">
        <v>364.69560509000002</v>
      </c>
      <c r="I34">
        <v>363.611188545</v>
      </c>
      <c r="J34">
        <v>629.29324215700001</v>
      </c>
      <c r="K34">
        <v>666.16340469900001</v>
      </c>
    </row>
    <row r="35" spans="1:11" x14ac:dyDescent="0.2">
      <c r="A35" t="s">
        <v>24</v>
      </c>
      <c r="B35">
        <v>1018.59878194</v>
      </c>
      <c r="C35">
        <v>1026.1896977599999</v>
      </c>
      <c r="D35">
        <v>1395.9757397200001</v>
      </c>
      <c r="E35">
        <v>1847.0930225899999</v>
      </c>
      <c r="F35">
        <v>967.63120430699996</v>
      </c>
      <c r="G35">
        <v>997.99486757700004</v>
      </c>
      <c r="H35">
        <v>408.072266904</v>
      </c>
      <c r="I35">
        <v>409.15668345</v>
      </c>
    </row>
    <row r="36" spans="1:11" x14ac:dyDescent="0.2">
      <c r="A36" t="s">
        <v>25</v>
      </c>
      <c r="B36">
        <v>785.44922468699997</v>
      </c>
      <c r="C36">
        <v>747.49464560000001</v>
      </c>
      <c r="D36">
        <v>1844.9241895</v>
      </c>
      <c r="E36">
        <v>1888.3008513100001</v>
      </c>
      <c r="F36">
        <v>986.06628557800002</v>
      </c>
      <c r="G36">
        <v>1015.3455322999999</v>
      </c>
      <c r="H36">
        <v>498.07884016899999</v>
      </c>
      <c r="I36">
        <v>536.033419256</v>
      </c>
    </row>
    <row r="37" spans="1:11" x14ac:dyDescent="0.2">
      <c r="A37" t="s">
        <v>26</v>
      </c>
      <c r="B37">
        <v>529.52691998399996</v>
      </c>
      <c r="C37">
        <v>492.65675744200001</v>
      </c>
      <c r="D37">
        <v>1353.6834944499999</v>
      </c>
      <c r="E37">
        <v>1373.2029922700001</v>
      </c>
      <c r="F37">
        <v>962.20912157999999</v>
      </c>
      <c r="G37">
        <v>951.36495612700003</v>
      </c>
      <c r="H37">
        <v>415.66318272199999</v>
      </c>
      <c r="I37">
        <v>418.91643235800001</v>
      </c>
    </row>
    <row r="38" spans="1:11" x14ac:dyDescent="0.2">
      <c r="A38" t="s">
        <v>27</v>
      </c>
      <c r="B38">
        <v>263.84486637200001</v>
      </c>
      <c r="C38">
        <v>226.97470383000001</v>
      </c>
      <c r="D38">
        <v>1466.4628151700001</v>
      </c>
      <c r="E38">
        <v>1599.84605025</v>
      </c>
      <c r="F38">
        <v>1105.35210557</v>
      </c>
      <c r="G38">
        <v>1094.5079401099999</v>
      </c>
      <c r="H38">
        <v>592.42307961500001</v>
      </c>
      <c r="I38">
        <v>598.92957888700005</v>
      </c>
    </row>
    <row r="39" spans="1:11" x14ac:dyDescent="0.2">
      <c r="A39" t="s">
        <v>28</v>
      </c>
      <c r="B39">
        <v>128.29279820299999</v>
      </c>
      <c r="C39">
        <v>109.857716932</v>
      </c>
      <c r="D39">
        <v>1514.1771431699999</v>
      </c>
      <c r="E39">
        <v>1521.76805898</v>
      </c>
      <c r="F39">
        <v>318.06569364000001</v>
      </c>
      <c r="G39">
        <v>331.07869218399998</v>
      </c>
      <c r="H39">
        <v>570.73474870699999</v>
      </c>
      <c r="I39">
        <v>626.03999252000006</v>
      </c>
    </row>
    <row r="40" spans="1:11" x14ac:dyDescent="0.2">
      <c r="A40" t="s">
        <v>29</v>
      </c>
      <c r="B40">
        <v>23.104393303799998</v>
      </c>
      <c r="C40">
        <v>3.5848954873899999</v>
      </c>
      <c r="D40">
        <v>1404.6510720799999</v>
      </c>
      <c r="E40">
        <v>1474.0537309900001</v>
      </c>
      <c r="F40">
        <v>493.74117398700002</v>
      </c>
      <c r="G40">
        <v>502.41650635000002</v>
      </c>
      <c r="H40">
        <v>492.65675744200001</v>
      </c>
      <c r="I40">
        <v>525.18925380300004</v>
      </c>
    </row>
    <row r="42" spans="1:11" x14ac:dyDescent="0.2">
      <c r="A42" t="s">
        <v>0</v>
      </c>
    </row>
    <row r="43" spans="1:11" x14ac:dyDescent="0.2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</row>
    <row r="44" spans="1:11" x14ac:dyDescent="0.2">
      <c r="A44">
        <v>1</v>
      </c>
      <c r="B44">
        <v>1</v>
      </c>
      <c r="C44" t="str">
        <f>""</f>
        <v/>
      </c>
      <c r="D44" t="s">
        <v>43</v>
      </c>
      <c r="E44" t="s">
        <v>11</v>
      </c>
      <c r="F44" t="s">
        <v>11</v>
      </c>
      <c r="G44" t="s">
        <v>11</v>
      </c>
      <c r="H44" t="s">
        <v>11</v>
      </c>
      <c r="I44" s="1">
        <v>44245.517974537041</v>
      </c>
    </row>
    <row r="46" spans="1:11" x14ac:dyDescent="0.2">
      <c r="A46" t="s">
        <v>12</v>
      </c>
    </row>
    <row r="47" spans="1:11" x14ac:dyDescent="0.2">
      <c r="A47" t="s">
        <v>1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</row>
    <row r="49" spans="1:13" x14ac:dyDescent="0.2">
      <c r="A49" t="s">
        <v>44</v>
      </c>
    </row>
    <row r="50" spans="1:13" x14ac:dyDescent="0.2"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</row>
    <row r="51" spans="1:13" x14ac:dyDescent="0.2">
      <c r="A51" t="s">
        <v>22</v>
      </c>
      <c r="B51">
        <v>1982.10288249</v>
      </c>
      <c r="C51">
        <v>1982.10288249</v>
      </c>
      <c r="D51">
        <v>-8.3436865114999996</v>
      </c>
      <c r="E51">
        <v>-8.3436865114999996</v>
      </c>
      <c r="F51">
        <v>1050.5890700299999</v>
      </c>
      <c r="G51">
        <v>1050.5890700299999</v>
      </c>
      <c r="H51">
        <v>474.22167617100001</v>
      </c>
      <c r="I51">
        <v>474.22167617100001</v>
      </c>
      <c r="J51">
        <v>550.67304261799995</v>
      </c>
      <c r="K51">
        <v>550.67304261799995</v>
      </c>
    </row>
    <row r="52" spans="1:13" x14ac:dyDescent="0.2">
      <c r="A52" t="s">
        <v>23</v>
      </c>
      <c r="B52">
        <v>1498.45310326</v>
      </c>
      <c r="C52">
        <v>1498.45310326</v>
      </c>
      <c r="D52">
        <v>-12.681352692999999</v>
      </c>
      <c r="E52">
        <v>-12.681352692999999</v>
      </c>
      <c r="F52">
        <v>1122.16056202</v>
      </c>
      <c r="G52">
        <v>1122.16056202</v>
      </c>
      <c r="H52">
        <v>364.15339681799998</v>
      </c>
      <c r="I52">
        <v>364.15339681799998</v>
      </c>
      <c r="J52">
        <v>647.72832342799995</v>
      </c>
      <c r="K52">
        <v>647.72832342799995</v>
      </c>
    </row>
    <row r="53" spans="1:13" x14ac:dyDescent="0.2">
      <c r="A53" t="s">
        <v>24</v>
      </c>
      <c r="B53">
        <v>1022.39423985</v>
      </c>
      <c r="C53">
        <v>1022.39423985</v>
      </c>
      <c r="D53">
        <v>1621.5343811600001</v>
      </c>
      <c r="E53">
        <v>1621.5343811600001</v>
      </c>
      <c r="F53">
        <v>982.81303594200006</v>
      </c>
      <c r="G53">
        <v>982.81303594200006</v>
      </c>
      <c r="H53">
        <v>408.61447517699997</v>
      </c>
      <c r="I53">
        <v>408.61447517699997</v>
      </c>
    </row>
    <row r="54" spans="1:13" x14ac:dyDescent="0.2">
      <c r="A54" t="s">
        <v>25</v>
      </c>
      <c r="B54">
        <v>766.47193514399999</v>
      </c>
      <c r="C54">
        <v>766.47193514399999</v>
      </c>
      <c r="D54">
        <v>1866.6125204099999</v>
      </c>
      <c r="E54">
        <v>1866.6125204099999</v>
      </c>
      <c r="F54">
        <v>1000.70590894</v>
      </c>
      <c r="G54">
        <v>1000.70590894</v>
      </c>
      <c r="H54">
        <v>517.05612971200003</v>
      </c>
      <c r="I54">
        <v>517.05612971200003</v>
      </c>
    </row>
    <row r="55" spans="1:13" x14ac:dyDescent="0.2">
      <c r="A55" t="s">
        <v>26</v>
      </c>
      <c r="B55">
        <v>511.09183871300002</v>
      </c>
      <c r="C55">
        <v>511.09183871300002</v>
      </c>
      <c r="D55">
        <v>1363.44324336</v>
      </c>
      <c r="E55">
        <v>1363.44324336</v>
      </c>
      <c r="F55">
        <v>956.78703885300001</v>
      </c>
      <c r="G55">
        <v>956.78703885300001</v>
      </c>
      <c r="H55">
        <v>417.28980754000003</v>
      </c>
      <c r="I55">
        <v>417.28980754000003</v>
      </c>
    </row>
    <row r="56" spans="1:13" x14ac:dyDescent="0.2">
      <c r="A56" t="s">
        <v>27</v>
      </c>
      <c r="B56">
        <v>245.40978510100001</v>
      </c>
      <c r="C56">
        <v>245.40978510100001</v>
      </c>
      <c r="D56">
        <v>1533.15443271</v>
      </c>
      <c r="E56">
        <v>1533.15443271</v>
      </c>
      <c r="F56">
        <v>1099.93002284</v>
      </c>
      <c r="G56">
        <v>1099.93002284</v>
      </c>
      <c r="H56">
        <v>595.67632925099997</v>
      </c>
      <c r="I56">
        <v>595.67632925099997</v>
      </c>
    </row>
    <row r="57" spans="1:13" x14ac:dyDescent="0.2">
      <c r="A57" t="s">
        <v>28</v>
      </c>
      <c r="B57">
        <v>119.075257568</v>
      </c>
      <c r="C57">
        <v>119.075257568</v>
      </c>
      <c r="D57">
        <v>1517.9726010700001</v>
      </c>
      <c r="E57">
        <v>1517.9726010700001</v>
      </c>
      <c r="F57">
        <v>324.57219291199999</v>
      </c>
      <c r="G57">
        <v>324.57219291199999</v>
      </c>
      <c r="H57">
        <v>598.38737061400002</v>
      </c>
      <c r="I57">
        <v>598.38737061400002</v>
      </c>
    </row>
    <row r="58" spans="1:13" x14ac:dyDescent="0.2">
      <c r="A58" t="s">
        <v>29</v>
      </c>
      <c r="B58">
        <v>13.3446443956</v>
      </c>
      <c r="C58">
        <v>13.3446443956</v>
      </c>
      <c r="D58">
        <v>1439.3524015400001</v>
      </c>
      <c r="E58">
        <v>1439.3524015400001</v>
      </c>
      <c r="F58">
        <v>498.07884016899999</v>
      </c>
      <c r="G58">
        <v>498.07884016899999</v>
      </c>
      <c r="H58">
        <v>508.92300562200001</v>
      </c>
      <c r="I58">
        <v>508.92300562200001</v>
      </c>
    </row>
    <row r="60" spans="1:13" x14ac:dyDescent="0.2">
      <c r="A60" t="s">
        <v>0</v>
      </c>
    </row>
    <row r="61" spans="1:13" x14ac:dyDescent="0.2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</row>
    <row r="62" spans="1:13" x14ac:dyDescent="0.2">
      <c r="A62">
        <v>1</v>
      </c>
      <c r="B62">
        <v>1</v>
      </c>
      <c r="C62" t="str">
        <f>""</f>
        <v/>
      </c>
      <c r="D62" t="s">
        <v>45</v>
      </c>
      <c r="E62" t="s">
        <v>11</v>
      </c>
      <c r="F62" t="s">
        <v>11</v>
      </c>
      <c r="G62" t="s">
        <v>11</v>
      </c>
      <c r="H62" t="s">
        <v>11</v>
      </c>
      <c r="I62" s="1">
        <v>44245.517974537041</v>
      </c>
    </row>
    <row r="64" spans="1:13" x14ac:dyDescent="0.2">
      <c r="A64" t="s">
        <v>12</v>
      </c>
    </row>
    <row r="65" spans="1:13" x14ac:dyDescent="0.2">
      <c r="A65" t="s">
        <v>1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7" spans="1:13" x14ac:dyDescent="0.2">
      <c r="A67" t="s">
        <v>46</v>
      </c>
    </row>
    <row r="68" spans="1:13" x14ac:dyDescent="0.2"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</row>
    <row r="69" spans="1:13" x14ac:dyDescent="0.2">
      <c r="A69" t="s">
        <v>22</v>
      </c>
      <c r="B69">
        <v>0.50291929319999995</v>
      </c>
      <c r="C69">
        <v>0.50291929319999995</v>
      </c>
      <c r="D69">
        <v>0</v>
      </c>
      <c r="E69">
        <v>0</v>
      </c>
      <c r="F69">
        <v>1.53273669118</v>
      </c>
      <c r="G69">
        <v>1.53273669118</v>
      </c>
      <c r="H69">
        <v>2.9105310796300001</v>
      </c>
      <c r="I69">
        <v>2.9105310796300001</v>
      </c>
      <c r="J69">
        <v>4.0381766986300001</v>
      </c>
      <c r="K69">
        <v>4.0381766986300001</v>
      </c>
    </row>
    <row r="70" spans="1:13" x14ac:dyDescent="0.2">
      <c r="A70" t="s">
        <v>23</v>
      </c>
      <c r="B70">
        <v>0.56289924609999997</v>
      </c>
      <c r="C70">
        <v>0.56289924609999997</v>
      </c>
      <c r="D70">
        <v>-12.093320191</v>
      </c>
      <c r="E70">
        <v>-12.093320191</v>
      </c>
      <c r="F70">
        <v>1.02498472875</v>
      </c>
      <c r="G70">
        <v>1.02498472875</v>
      </c>
      <c r="H70">
        <v>0.21057013323000001</v>
      </c>
      <c r="I70">
        <v>0.21057013323000001</v>
      </c>
      <c r="J70">
        <v>4.02501187828</v>
      </c>
      <c r="K70">
        <v>4.02501187828</v>
      </c>
    </row>
    <row r="71" spans="1:13" x14ac:dyDescent="0.2">
      <c r="A71" t="s">
        <v>24</v>
      </c>
      <c r="B71">
        <v>0.52500178901000005</v>
      </c>
      <c r="C71">
        <v>0.52500178901000005</v>
      </c>
      <c r="D71">
        <v>19.6719905253</v>
      </c>
      <c r="E71">
        <v>19.6719905253</v>
      </c>
      <c r="F71">
        <v>2.1845815444699999</v>
      </c>
      <c r="G71">
        <v>2.1845815444699999</v>
      </c>
      <c r="H71">
        <v>0.18765813240000001</v>
      </c>
      <c r="I71">
        <v>0.18765813240000001</v>
      </c>
    </row>
    <row r="72" spans="1:13" x14ac:dyDescent="0.2">
      <c r="A72" t="s">
        <v>25</v>
      </c>
      <c r="B72">
        <v>3.5014902723999999</v>
      </c>
      <c r="C72">
        <v>3.5014902723999999</v>
      </c>
      <c r="D72">
        <v>1.6431868627599999</v>
      </c>
      <c r="E72">
        <v>1.6431868627599999</v>
      </c>
      <c r="F72">
        <v>2.0688949392599998</v>
      </c>
      <c r="G72">
        <v>2.0688949392599998</v>
      </c>
      <c r="H72">
        <v>5.1905274316499996</v>
      </c>
      <c r="I72">
        <v>5.1905274316499996</v>
      </c>
    </row>
    <row r="73" spans="1:13" x14ac:dyDescent="0.2">
      <c r="A73" t="s">
        <v>26</v>
      </c>
      <c r="B73">
        <v>5.1010679455499996</v>
      </c>
      <c r="C73">
        <v>5.1010679455499996</v>
      </c>
      <c r="D73">
        <v>1.0123171124699999</v>
      </c>
      <c r="E73">
        <v>1.0123171124699999</v>
      </c>
      <c r="F73">
        <v>0.80143047691000002</v>
      </c>
      <c r="G73">
        <v>0.80143047691000002</v>
      </c>
      <c r="H73">
        <v>0.55127032507999996</v>
      </c>
      <c r="I73">
        <v>0.55127032507999996</v>
      </c>
    </row>
    <row r="74" spans="1:13" x14ac:dyDescent="0.2">
      <c r="A74" t="s">
        <v>27</v>
      </c>
      <c r="B74">
        <v>10.623513624799999</v>
      </c>
      <c r="C74">
        <v>10.623513624799999</v>
      </c>
      <c r="D74">
        <v>6.1517736249199997</v>
      </c>
      <c r="E74">
        <v>6.1517736249199997</v>
      </c>
      <c r="F74">
        <v>0.69713370572</v>
      </c>
      <c r="G74">
        <v>0.69713370572</v>
      </c>
      <c r="H74">
        <v>0.77236403918999996</v>
      </c>
      <c r="I74">
        <v>0.77236403918999996</v>
      </c>
    </row>
    <row r="75" spans="1:13" x14ac:dyDescent="0.2">
      <c r="A75" t="s">
        <v>28</v>
      </c>
      <c r="B75">
        <v>10.947338048800001</v>
      </c>
      <c r="C75">
        <v>10.947338048800001</v>
      </c>
      <c r="D75">
        <v>0.35360243302</v>
      </c>
      <c r="E75">
        <v>0.35360243302</v>
      </c>
      <c r="F75">
        <v>2.83498701218</v>
      </c>
      <c r="G75">
        <v>2.83498701218</v>
      </c>
      <c r="H75">
        <v>6.5353506534200001</v>
      </c>
      <c r="I75">
        <v>6.5353506534200001</v>
      </c>
    </row>
    <row r="76" spans="1:13" x14ac:dyDescent="0.2">
      <c r="A76" t="s">
        <v>29</v>
      </c>
      <c r="B76">
        <v>103.430026775</v>
      </c>
      <c r="C76">
        <v>103.430026775</v>
      </c>
      <c r="D76">
        <v>3.4095257485300001</v>
      </c>
      <c r="E76">
        <v>3.4095257485300001</v>
      </c>
      <c r="F76">
        <v>1.2316095059800001</v>
      </c>
      <c r="G76">
        <v>1.2316095059800001</v>
      </c>
      <c r="H76">
        <v>4.52012358085</v>
      </c>
      <c r="I76">
        <v>4.52012358085</v>
      </c>
    </row>
    <row r="78" spans="1:13" x14ac:dyDescent="0.2">
      <c r="A78" t="s">
        <v>0</v>
      </c>
    </row>
    <row r="79" spans="1:13" x14ac:dyDescent="0.2">
      <c r="A79" t="s">
        <v>1</v>
      </c>
      <c r="B79" t="s">
        <v>2</v>
      </c>
      <c r="C79" t="s">
        <v>3</v>
      </c>
      <c r="D79" t="s">
        <v>5</v>
      </c>
      <c r="E79" t="s">
        <v>6</v>
      </c>
      <c r="F79" t="s">
        <v>7</v>
      </c>
      <c r="G79" t="s">
        <v>8</v>
      </c>
      <c r="H79" t="s">
        <v>47</v>
      </c>
      <c r="I79" t="s">
        <v>48</v>
      </c>
      <c r="J79" t="s">
        <v>49</v>
      </c>
      <c r="K79" t="s">
        <v>50</v>
      </c>
      <c r="L79" t="s">
        <v>51</v>
      </c>
      <c r="M79" t="s">
        <v>9</v>
      </c>
    </row>
    <row r="80" spans="1:13" x14ac:dyDescent="0.2">
      <c r="A80">
        <v>1</v>
      </c>
      <c r="B80">
        <v>1</v>
      </c>
      <c r="C80" t="str">
        <f>""</f>
        <v/>
      </c>
      <c r="D80">
        <v>26.9</v>
      </c>
      <c r="E80">
        <v>26.9</v>
      </c>
      <c r="F80">
        <v>25</v>
      </c>
      <c r="G80">
        <v>24.9</v>
      </c>
      <c r="H80" t="s">
        <v>19</v>
      </c>
      <c r="I80">
        <v>0</v>
      </c>
      <c r="J80">
        <v>0</v>
      </c>
      <c r="K80" t="s">
        <v>20</v>
      </c>
      <c r="L80">
        <v>1</v>
      </c>
      <c r="M80" s="1">
        <v>44245.517974537041</v>
      </c>
    </row>
    <row r="82" spans="1:13" x14ac:dyDescent="0.2">
      <c r="A82" t="s">
        <v>12</v>
      </c>
    </row>
    <row r="83" spans="1:13" x14ac:dyDescent="0.2">
      <c r="A83" t="s">
        <v>1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</row>
    <row r="84" spans="1:13" x14ac:dyDescent="0.2">
      <c r="A84">
        <v>1</v>
      </c>
      <c r="B84" t="s">
        <v>19</v>
      </c>
      <c r="C84">
        <v>0</v>
      </c>
      <c r="D84">
        <v>308586</v>
      </c>
      <c r="E84">
        <v>9</v>
      </c>
      <c r="F84" s="2">
        <v>0</v>
      </c>
      <c r="G84" t="s">
        <v>20</v>
      </c>
    </row>
    <row r="86" spans="1:13" x14ac:dyDescent="0.2">
      <c r="A86" t="s">
        <v>52</v>
      </c>
    </row>
    <row r="87" spans="1:13" x14ac:dyDescent="0.2"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 spans="1:13" x14ac:dyDescent="0.2">
      <c r="A88" t="s">
        <v>22</v>
      </c>
      <c r="B88">
        <v>2.4609999999999999</v>
      </c>
      <c r="C88">
        <v>2.448</v>
      </c>
      <c r="D88">
        <v>0.61899999999999999</v>
      </c>
      <c r="E88">
        <v>0.61899999999999999</v>
      </c>
      <c r="F88">
        <v>1.585</v>
      </c>
      <c r="G88">
        <v>1.6060000000000001</v>
      </c>
      <c r="H88">
        <v>1.073</v>
      </c>
      <c r="I88">
        <v>1.0549999999999999</v>
      </c>
      <c r="J88">
        <v>1.1200000000000001</v>
      </c>
      <c r="K88">
        <v>1.149</v>
      </c>
    </row>
    <row r="89" spans="1:13" x14ac:dyDescent="0.2">
      <c r="A89" t="s">
        <v>23</v>
      </c>
      <c r="B89">
        <v>2.0139999999999998</v>
      </c>
      <c r="C89">
        <v>2.0030000000000001</v>
      </c>
      <c r="D89">
        <v>0.61599999999999999</v>
      </c>
      <c r="E89">
        <v>0.61399999999999999</v>
      </c>
      <c r="F89">
        <v>1.6539999999999999</v>
      </c>
      <c r="G89">
        <v>1.669</v>
      </c>
      <c r="H89">
        <v>0.96299999999999997</v>
      </c>
      <c r="I89">
        <v>0.96199999999999997</v>
      </c>
      <c r="J89">
        <v>1.2070000000000001</v>
      </c>
      <c r="K89">
        <v>1.2410000000000001</v>
      </c>
    </row>
    <row r="90" spans="1:13" x14ac:dyDescent="0.2">
      <c r="A90" t="s">
        <v>24</v>
      </c>
      <c r="B90">
        <v>1.5660000000000001</v>
      </c>
      <c r="C90">
        <v>1.573</v>
      </c>
      <c r="D90">
        <v>1.9139999999999999</v>
      </c>
      <c r="E90">
        <v>2.33</v>
      </c>
      <c r="F90">
        <v>1.5189999999999999</v>
      </c>
      <c r="G90">
        <v>1.5469999999999999</v>
      </c>
      <c r="H90">
        <v>1.0029999999999999</v>
      </c>
      <c r="I90">
        <v>1.004</v>
      </c>
    </row>
    <row r="91" spans="1:13" x14ac:dyDescent="0.2">
      <c r="A91" t="s">
        <v>25</v>
      </c>
      <c r="B91">
        <v>1.351</v>
      </c>
      <c r="C91">
        <v>1.3160000000000001</v>
      </c>
      <c r="D91">
        <v>2.3279999999999998</v>
      </c>
      <c r="E91">
        <v>2.3679999999999999</v>
      </c>
      <c r="F91">
        <v>1.536</v>
      </c>
      <c r="G91">
        <v>1.5629999999999999</v>
      </c>
      <c r="H91">
        <v>1.0860000000000001</v>
      </c>
      <c r="I91">
        <v>1.121</v>
      </c>
    </row>
    <row r="92" spans="1:13" x14ac:dyDescent="0.2">
      <c r="A92" t="s">
        <v>26</v>
      </c>
      <c r="B92">
        <v>1.115</v>
      </c>
      <c r="C92">
        <v>1.081</v>
      </c>
      <c r="D92">
        <v>1.875</v>
      </c>
      <c r="E92">
        <v>1.893</v>
      </c>
      <c r="F92">
        <v>1.514</v>
      </c>
      <c r="G92">
        <v>1.504</v>
      </c>
      <c r="H92">
        <v>1.01</v>
      </c>
      <c r="I92">
        <v>1.0129999999999999</v>
      </c>
    </row>
    <row r="93" spans="1:13" x14ac:dyDescent="0.2">
      <c r="A93" t="s">
        <v>27</v>
      </c>
      <c r="B93">
        <v>0.87</v>
      </c>
      <c r="C93">
        <v>0.83599999999999997</v>
      </c>
      <c r="D93">
        <v>1.9790000000000001</v>
      </c>
      <c r="E93">
        <v>2.1019999999999999</v>
      </c>
      <c r="F93">
        <v>1.6459999999999999</v>
      </c>
      <c r="G93">
        <v>1.6359999999999999</v>
      </c>
      <c r="H93">
        <v>1.173</v>
      </c>
      <c r="I93">
        <v>1.179</v>
      </c>
    </row>
    <row r="94" spans="1:13" x14ac:dyDescent="0.2">
      <c r="A94" t="s">
        <v>28</v>
      </c>
      <c r="B94">
        <v>0.745</v>
      </c>
      <c r="C94">
        <v>0.72799999999999998</v>
      </c>
      <c r="D94">
        <v>2.0230000000000001</v>
      </c>
      <c r="E94">
        <v>2.0299999999999998</v>
      </c>
      <c r="F94">
        <v>0.92</v>
      </c>
      <c r="G94">
        <v>0.93200000000000005</v>
      </c>
      <c r="H94">
        <v>1.153</v>
      </c>
      <c r="I94">
        <v>1.204</v>
      </c>
    </row>
    <row r="95" spans="1:13" x14ac:dyDescent="0.2">
      <c r="A95" t="s">
        <v>29</v>
      </c>
      <c r="B95">
        <v>0.64800000000000002</v>
      </c>
      <c r="C95">
        <v>0.63</v>
      </c>
      <c r="D95">
        <v>1.9219999999999999</v>
      </c>
      <c r="E95">
        <v>1.986</v>
      </c>
      <c r="F95">
        <v>1.0820000000000001</v>
      </c>
      <c r="G95">
        <v>1.0900000000000001</v>
      </c>
      <c r="H95">
        <v>1.081</v>
      </c>
      <c r="I95">
        <v>1.111</v>
      </c>
    </row>
    <row r="98" spans="1:5" x14ac:dyDescent="0.2">
      <c r="A98" t="s">
        <v>53</v>
      </c>
    </row>
    <row r="99" spans="1:5" x14ac:dyDescent="0.2">
      <c r="A99" t="s">
        <v>54</v>
      </c>
      <c r="E99">
        <v>1752</v>
      </c>
    </row>
    <row r="100" spans="1:5" x14ac:dyDescent="0.2">
      <c r="A100" t="s">
        <v>55</v>
      </c>
      <c r="E100" s="1">
        <v>44245.516770833332</v>
      </c>
    </row>
    <row r="101" spans="1:5" x14ac:dyDescent="0.2">
      <c r="A101" t="s">
        <v>56</v>
      </c>
      <c r="E101" s="1">
        <v>44245.518287037034</v>
      </c>
    </row>
    <row r="102" spans="1:5" x14ac:dyDescent="0.2">
      <c r="A102" t="s">
        <v>57</v>
      </c>
      <c r="E102" s="1">
        <v>44245.519178240742</v>
      </c>
    </row>
    <row r="103" spans="1:5" x14ac:dyDescent="0.2">
      <c r="A103" t="s">
        <v>58</v>
      </c>
      <c r="E103" t="s">
        <v>11</v>
      </c>
    </row>
    <row r="104" spans="1:5" x14ac:dyDescent="0.2">
      <c r="A104" t="s">
        <v>59</v>
      </c>
      <c r="E104">
        <v>100175</v>
      </c>
    </row>
    <row r="105" spans="1:5" x14ac:dyDescent="0.2">
      <c r="A105" t="s">
        <v>60</v>
      </c>
      <c r="E105" t="s">
        <v>61</v>
      </c>
    </row>
    <row r="106" spans="1:5" x14ac:dyDescent="0.2">
      <c r="A106" t="s">
        <v>62</v>
      </c>
      <c r="E106" t="str">
        <f>"23000584"</f>
        <v>23000584</v>
      </c>
    </row>
    <row r="110" spans="1:5" x14ac:dyDescent="0.2">
      <c r="A110" t="s">
        <v>63</v>
      </c>
    </row>
    <row r="111" spans="1:5" x14ac:dyDescent="0.2">
      <c r="A111" t="s">
        <v>64</v>
      </c>
    </row>
    <row r="112" spans="1:5" x14ac:dyDescent="0.2">
      <c r="A112" t="s">
        <v>65</v>
      </c>
      <c r="E112" t="s">
        <v>61</v>
      </c>
    </row>
    <row r="113" spans="1:5" x14ac:dyDescent="0.2">
      <c r="A113" t="s">
        <v>66</v>
      </c>
      <c r="E113">
        <v>1</v>
      </c>
    </row>
    <row r="114" spans="1:5" x14ac:dyDescent="0.2">
      <c r="A114" t="s">
        <v>67</v>
      </c>
      <c r="E114" t="s">
        <v>11</v>
      </c>
    </row>
    <row r="115" spans="1:5" x14ac:dyDescent="0.2">
      <c r="A115" t="s">
        <v>68</v>
      </c>
      <c r="E115">
        <v>1</v>
      </c>
    </row>
    <row r="116" spans="1:5" x14ac:dyDescent="0.2">
      <c r="A116" t="s">
        <v>69</v>
      </c>
      <c r="E116" t="s">
        <v>11</v>
      </c>
    </row>
    <row r="117" spans="1:5" x14ac:dyDescent="0.2">
      <c r="A117" t="s">
        <v>70</v>
      </c>
      <c r="E117" t="s">
        <v>71</v>
      </c>
    </row>
    <row r="118" spans="1:5" x14ac:dyDescent="0.2">
      <c r="A118" t="s">
        <v>72</v>
      </c>
      <c r="E118" t="s">
        <v>40</v>
      </c>
    </row>
    <row r="119" spans="1:5" x14ac:dyDescent="0.2">
      <c r="A119" t="s">
        <v>73</v>
      </c>
      <c r="E119" t="s">
        <v>40</v>
      </c>
    </row>
    <row r="120" spans="1:5" x14ac:dyDescent="0.2">
      <c r="A120" t="s">
        <v>74</v>
      </c>
      <c r="E120" t="s">
        <v>75</v>
      </c>
    </row>
    <row r="122" spans="1:5" x14ac:dyDescent="0.2">
      <c r="A122" t="s">
        <v>76</v>
      </c>
    </row>
    <row r="123" spans="1:5" x14ac:dyDescent="0.2">
      <c r="A123" t="s">
        <v>77</v>
      </c>
      <c r="E123" t="s">
        <v>78</v>
      </c>
    </row>
    <row r="124" spans="1:5" x14ac:dyDescent="0.2">
      <c r="A124" t="s">
        <v>79</v>
      </c>
      <c r="E124">
        <v>8</v>
      </c>
    </row>
    <row r="125" spans="1:5" x14ac:dyDescent="0.2">
      <c r="A125" t="s">
        <v>80</v>
      </c>
      <c r="E125">
        <v>12</v>
      </c>
    </row>
    <row r="126" spans="1:5" x14ac:dyDescent="0.2">
      <c r="A126" t="s">
        <v>81</v>
      </c>
      <c r="E126">
        <v>96</v>
      </c>
    </row>
    <row r="127" spans="1:5" x14ac:dyDescent="0.2">
      <c r="A127" t="s">
        <v>82</v>
      </c>
      <c r="E127" t="s">
        <v>83</v>
      </c>
    </row>
    <row r="128" spans="1:5" x14ac:dyDescent="0.2">
      <c r="A128" t="s">
        <v>84</v>
      </c>
      <c r="E128" t="s">
        <v>85</v>
      </c>
    </row>
    <row r="129" spans="1:13" x14ac:dyDescent="0.2">
      <c r="A129" t="s">
        <v>86</v>
      </c>
      <c r="E129" t="s">
        <v>87</v>
      </c>
    </row>
    <row r="131" spans="1:13" x14ac:dyDescent="0.2">
      <c r="A131" t="s">
        <v>88</v>
      </c>
    </row>
    <row r="132" spans="1:13" x14ac:dyDescent="0.2">
      <c r="A132" t="s">
        <v>78</v>
      </c>
    </row>
    <row r="133" spans="1:13" x14ac:dyDescent="0.2">
      <c r="A133" t="s">
        <v>89</v>
      </c>
    </row>
    <row r="134" spans="1:13" x14ac:dyDescent="0.2">
      <c r="A134" t="s">
        <v>90</v>
      </c>
    </row>
    <row r="136" spans="1:13" x14ac:dyDescent="0.2">
      <c r="A136" t="s">
        <v>89</v>
      </c>
    </row>
    <row r="137" spans="1:13" x14ac:dyDescent="0.2">
      <c r="A137" t="s">
        <v>91</v>
      </c>
    </row>
    <row r="139" spans="1:13" x14ac:dyDescent="0.2">
      <c r="A139" t="s">
        <v>92</v>
      </c>
    </row>
    <row r="140" spans="1:13" x14ac:dyDescent="0.2">
      <c r="A140" t="s">
        <v>1</v>
      </c>
      <c r="E140">
        <v>1</v>
      </c>
    </row>
    <row r="142" spans="1:13" x14ac:dyDescent="0.2">
      <c r="B142">
        <v>1</v>
      </c>
      <c r="C142">
        <v>2</v>
      </c>
      <c r="D142">
        <v>3</v>
      </c>
      <c r="E142">
        <v>4</v>
      </c>
      <c r="F142">
        <v>5</v>
      </c>
      <c r="G142">
        <v>6</v>
      </c>
      <c r="H142">
        <v>7</v>
      </c>
      <c r="I142">
        <v>8</v>
      </c>
      <c r="J142">
        <v>9</v>
      </c>
      <c r="K142">
        <v>10</v>
      </c>
      <c r="L142">
        <v>11</v>
      </c>
      <c r="M142">
        <v>12</v>
      </c>
    </row>
    <row r="143" spans="1:13" x14ac:dyDescent="0.2">
      <c r="A143" t="s">
        <v>22</v>
      </c>
      <c r="B143" t="s">
        <v>93</v>
      </c>
      <c r="C143" t="s">
        <v>93</v>
      </c>
      <c r="D143" t="s">
        <v>94</v>
      </c>
      <c r="E143" t="s">
        <v>94</v>
      </c>
      <c r="F143" t="s">
        <v>95</v>
      </c>
      <c r="G143" t="s">
        <v>95</v>
      </c>
      <c r="H143" t="s">
        <v>96</v>
      </c>
      <c r="I143" t="s">
        <v>96</v>
      </c>
      <c r="J143" t="s">
        <v>97</v>
      </c>
      <c r="K143" t="s">
        <v>97</v>
      </c>
      <c r="L143" t="s">
        <v>98</v>
      </c>
      <c r="M143" t="s">
        <v>98</v>
      </c>
    </row>
    <row r="144" spans="1:13" x14ac:dyDescent="0.2">
      <c r="A144" t="s">
        <v>23</v>
      </c>
      <c r="B144" t="s">
        <v>99</v>
      </c>
      <c r="C144" t="s">
        <v>99</v>
      </c>
      <c r="D144" t="s">
        <v>100</v>
      </c>
      <c r="E144" t="s">
        <v>100</v>
      </c>
      <c r="F144" t="s">
        <v>101</v>
      </c>
      <c r="G144" t="s">
        <v>101</v>
      </c>
      <c r="H144" t="s">
        <v>102</v>
      </c>
      <c r="I144" t="s">
        <v>102</v>
      </c>
      <c r="J144" t="s">
        <v>103</v>
      </c>
      <c r="K144" t="s">
        <v>103</v>
      </c>
      <c r="L144" t="s">
        <v>98</v>
      </c>
      <c r="M144" t="s">
        <v>98</v>
      </c>
    </row>
    <row r="145" spans="1:13" x14ac:dyDescent="0.2">
      <c r="A145" t="s">
        <v>24</v>
      </c>
      <c r="B145" t="s">
        <v>104</v>
      </c>
      <c r="C145" t="s">
        <v>104</v>
      </c>
      <c r="D145" t="s">
        <v>105</v>
      </c>
      <c r="E145" t="s">
        <v>105</v>
      </c>
      <c r="F145" t="s">
        <v>106</v>
      </c>
      <c r="G145" t="s">
        <v>106</v>
      </c>
      <c r="H145" t="s">
        <v>107</v>
      </c>
      <c r="I145" t="s">
        <v>107</v>
      </c>
      <c r="J145" t="s">
        <v>98</v>
      </c>
      <c r="K145" t="s">
        <v>98</v>
      </c>
      <c r="L145" t="s">
        <v>98</v>
      </c>
      <c r="M145" t="s">
        <v>98</v>
      </c>
    </row>
    <row r="146" spans="1:13" x14ac:dyDescent="0.2">
      <c r="A146" t="s">
        <v>25</v>
      </c>
      <c r="B146" t="s">
        <v>108</v>
      </c>
      <c r="C146" t="s">
        <v>108</v>
      </c>
      <c r="D146" t="s">
        <v>109</v>
      </c>
      <c r="E146" t="s">
        <v>109</v>
      </c>
      <c r="F146" t="s">
        <v>110</v>
      </c>
      <c r="G146" t="s">
        <v>110</v>
      </c>
      <c r="H146" t="s">
        <v>111</v>
      </c>
      <c r="I146" t="s">
        <v>111</v>
      </c>
      <c r="J146" t="s">
        <v>98</v>
      </c>
      <c r="K146" t="s">
        <v>98</v>
      </c>
      <c r="L146" t="s">
        <v>98</v>
      </c>
      <c r="M146" t="s">
        <v>98</v>
      </c>
    </row>
    <row r="147" spans="1:13" x14ac:dyDescent="0.2">
      <c r="A147" t="s">
        <v>26</v>
      </c>
      <c r="B147" t="s">
        <v>112</v>
      </c>
      <c r="C147" t="s">
        <v>112</v>
      </c>
      <c r="D147" t="s">
        <v>113</v>
      </c>
      <c r="E147" t="s">
        <v>113</v>
      </c>
      <c r="F147" t="s">
        <v>114</v>
      </c>
      <c r="G147" t="s">
        <v>114</v>
      </c>
      <c r="H147" t="s">
        <v>115</v>
      </c>
      <c r="I147" t="s">
        <v>115</v>
      </c>
      <c r="J147" t="s">
        <v>98</v>
      </c>
      <c r="K147" t="s">
        <v>98</v>
      </c>
      <c r="L147" t="s">
        <v>98</v>
      </c>
      <c r="M147" t="s">
        <v>98</v>
      </c>
    </row>
    <row r="148" spans="1:13" x14ac:dyDescent="0.2">
      <c r="A148" t="s">
        <v>27</v>
      </c>
      <c r="B148" t="s">
        <v>116</v>
      </c>
      <c r="C148" t="s">
        <v>116</v>
      </c>
      <c r="D148" t="s">
        <v>117</v>
      </c>
      <c r="E148" t="s">
        <v>117</v>
      </c>
      <c r="F148" t="s">
        <v>118</v>
      </c>
      <c r="G148" t="s">
        <v>118</v>
      </c>
      <c r="H148" t="s">
        <v>119</v>
      </c>
      <c r="I148" t="s">
        <v>119</v>
      </c>
      <c r="J148" t="s">
        <v>98</v>
      </c>
      <c r="K148" t="s">
        <v>98</v>
      </c>
      <c r="L148" t="s">
        <v>98</v>
      </c>
      <c r="M148" t="s">
        <v>98</v>
      </c>
    </row>
    <row r="149" spans="1:13" x14ac:dyDescent="0.2">
      <c r="A149" t="s">
        <v>28</v>
      </c>
      <c r="B149" t="s">
        <v>120</v>
      </c>
      <c r="C149" t="s">
        <v>120</v>
      </c>
      <c r="D149" t="s">
        <v>121</v>
      </c>
      <c r="E149" t="s">
        <v>121</v>
      </c>
      <c r="F149" t="s">
        <v>122</v>
      </c>
      <c r="G149" t="s">
        <v>122</v>
      </c>
      <c r="H149" t="s">
        <v>123</v>
      </c>
      <c r="I149" t="s">
        <v>123</v>
      </c>
      <c r="J149" t="s">
        <v>98</v>
      </c>
      <c r="K149" t="s">
        <v>98</v>
      </c>
      <c r="L149" t="s">
        <v>98</v>
      </c>
      <c r="M149" t="s">
        <v>98</v>
      </c>
    </row>
    <row r="150" spans="1:13" x14ac:dyDescent="0.2">
      <c r="A150" t="s">
        <v>29</v>
      </c>
      <c r="B150" t="s">
        <v>124</v>
      </c>
      <c r="C150" t="s">
        <v>124</v>
      </c>
      <c r="D150" t="s">
        <v>125</v>
      </c>
      <c r="E150" t="s">
        <v>125</v>
      </c>
      <c r="F150" t="s">
        <v>126</v>
      </c>
      <c r="G150" t="s">
        <v>126</v>
      </c>
      <c r="H150" t="s">
        <v>127</v>
      </c>
      <c r="I150" t="s">
        <v>127</v>
      </c>
      <c r="J150" t="s">
        <v>98</v>
      </c>
      <c r="K150" t="s">
        <v>98</v>
      </c>
      <c r="L150" t="s">
        <v>98</v>
      </c>
      <c r="M150" t="s">
        <v>98</v>
      </c>
    </row>
    <row r="152" spans="1:13" x14ac:dyDescent="0.2">
      <c r="A152" t="s">
        <v>128</v>
      </c>
    </row>
    <row r="153" spans="1:13" x14ac:dyDescent="0.2">
      <c r="A153" t="s">
        <v>129</v>
      </c>
    </row>
    <row r="154" spans="1:13" x14ac:dyDescent="0.2">
      <c r="A154" t="s">
        <v>130</v>
      </c>
    </row>
    <row r="156" spans="1:13" x14ac:dyDescent="0.2">
      <c r="A156" t="s">
        <v>131</v>
      </c>
    </row>
    <row r="157" spans="1:13" x14ac:dyDescent="0.2">
      <c r="A157" t="s">
        <v>1</v>
      </c>
      <c r="E157">
        <v>1</v>
      </c>
    </row>
    <row r="158" spans="1:13" x14ac:dyDescent="0.2">
      <c r="A158" t="s">
        <v>132</v>
      </c>
      <c r="E158" t="s">
        <v>133</v>
      </c>
    </row>
    <row r="159" spans="1:13" x14ac:dyDescent="0.2">
      <c r="A159" t="s">
        <v>134</v>
      </c>
      <c r="E159" t="s">
        <v>135</v>
      </c>
    </row>
    <row r="160" spans="1:13" x14ac:dyDescent="0.2">
      <c r="A160" t="s">
        <v>136</v>
      </c>
      <c r="E160" t="s">
        <v>137</v>
      </c>
    </row>
    <row r="162" spans="1:5" x14ac:dyDescent="0.2">
      <c r="A162" t="s">
        <v>132</v>
      </c>
      <c r="E162" t="s">
        <v>138</v>
      </c>
    </row>
    <row r="163" spans="1:5" x14ac:dyDescent="0.2">
      <c r="A163" t="s">
        <v>134</v>
      </c>
      <c r="E163" t="s">
        <v>139</v>
      </c>
    </row>
    <row r="164" spans="1:5" x14ac:dyDescent="0.2">
      <c r="A164" t="s">
        <v>136</v>
      </c>
      <c r="E164" t="s">
        <v>140</v>
      </c>
    </row>
    <row r="165" spans="1:5" x14ac:dyDescent="0.2">
      <c r="A165" t="s">
        <v>141</v>
      </c>
      <c r="E165" t="s">
        <v>142</v>
      </c>
    </row>
    <row r="166" spans="1:5" x14ac:dyDescent="0.2">
      <c r="A166" t="s">
        <v>143</v>
      </c>
      <c r="E166" t="s">
        <v>144</v>
      </c>
    </row>
    <row r="167" spans="1:5" x14ac:dyDescent="0.2">
      <c r="A167" t="s">
        <v>145</v>
      </c>
      <c r="E167" t="s">
        <v>146</v>
      </c>
    </row>
    <row r="168" spans="1:5" x14ac:dyDescent="0.2">
      <c r="A168" t="s">
        <v>147</v>
      </c>
      <c r="E168" t="s">
        <v>40</v>
      </c>
    </row>
    <row r="169" spans="1:5" x14ac:dyDescent="0.2">
      <c r="A169" t="s">
        <v>148</v>
      </c>
      <c r="E169" t="s">
        <v>149</v>
      </c>
    </row>
    <row r="170" spans="1:5" x14ac:dyDescent="0.2">
      <c r="A170" t="s">
        <v>150</v>
      </c>
      <c r="E170" t="s">
        <v>149</v>
      </c>
    </row>
    <row r="171" spans="1:5" x14ac:dyDescent="0.2">
      <c r="A171" t="s">
        <v>151</v>
      </c>
      <c r="E171">
        <v>2000</v>
      </c>
    </row>
    <row r="172" spans="1:5" x14ac:dyDescent="0.2">
      <c r="A172" t="s">
        <v>152</v>
      </c>
      <c r="E172">
        <v>1500</v>
      </c>
    </row>
    <row r="173" spans="1:5" x14ac:dyDescent="0.2">
      <c r="A173" t="s">
        <v>153</v>
      </c>
      <c r="E173">
        <v>1000</v>
      </c>
    </row>
    <row r="174" spans="1:5" x14ac:dyDescent="0.2">
      <c r="A174" t="s">
        <v>154</v>
      </c>
      <c r="E174">
        <v>750</v>
      </c>
    </row>
    <row r="175" spans="1:5" x14ac:dyDescent="0.2">
      <c r="A175" t="s">
        <v>155</v>
      </c>
      <c r="E175">
        <v>500</v>
      </c>
    </row>
    <row r="176" spans="1:5" x14ac:dyDescent="0.2">
      <c r="A176" t="s">
        <v>156</v>
      </c>
      <c r="E176">
        <v>250</v>
      </c>
    </row>
    <row r="177" spans="1:5" x14ac:dyDescent="0.2">
      <c r="A177" t="s">
        <v>157</v>
      </c>
      <c r="E177">
        <v>125</v>
      </c>
    </row>
    <row r="178" spans="1:5" x14ac:dyDescent="0.2">
      <c r="A178" t="s">
        <v>158</v>
      </c>
      <c r="E178">
        <v>25</v>
      </c>
    </row>
    <row r="179" spans="1:5" x14ac:dyDescent="0.2">
      <c r="A179" t="s">
        <v>159</v>
      </c>
      <c r="E179">
        <v>0</v>
      </c>
    </row>
    <row r="180" spans="1:5" x14ac:dyDescent="0.2">
      <c r="A180" t="s">
        <v>160</v>
      </c>
      <c r="E180" t="s">
        <v>75</v>
      </c>
    </row>
    <row r="182" spans="1:5" x14ac:dyDescent="0.2">
      <c r="A182" t="s">
        <v>132</v>
      </c>
      <c r="E182" t="s">
        <v>161</v>
      </c>
    </row>
    <row r="183" spans="1:5" x14ac:dyDescent="0.2">
      <c r="A183" t="s">
        <v>134</v>
      </c>
      <c r="E183" t="s">
        <v>162</v>
      </c>
    </row>
    <row r="184" spans="1:5" x14ac:dyDescent="0.2">
      <c r="A184" t="s">
        <v>136</v>
      </c>
      <c r="E184" t="s">
        <v>163</v>
      </c>
    </row>
    <row r="186" spans="1:5" x14ac:dyDescent="0.2">
      <c r="A186" t="s">
        <v>132</v>
      </c>
      <c r="E186" t="s">
        <v>164</v>
      </c>
    </row>
    <row r="187" spans="1:5" x14ac:dyDescent="0.2">
      <c r="A187" t="s">
        <v>134</v>
      </c>
      <c r="E187" t="s">
        <v>165</v>
      </c>
    </row>
    <row r="188" spans="1:5" x14ac:dyDescent="0.2">
      <c r="A188" t="s">
        <v>136</v>
      </c>
      <c r="E188" t="s">
        <v>166</v>
      </c>
    </row>
    <row r="190" spans="1:5" x14ac:dyDescent="0.2">
      <c r="A190" t="s">
        <v>167</v>
      </c>
    </row>
    <row r="191" spans="1:5" x14ac:dyDescent="0.2">
      <c r="A191" t="s">
        <v>168</v>
      </c>
      <c r="E191" t="s">
        <v>169</v>
      </c>
    </row>
    <row r="192" spans="1:5" x14ac:dyDescent="0.2">
      <c r="A192" t="s">
        <v>170</v>
      </c>
      <c r="E192" t="s">
        <v>40</v>
      </c>
    </row>
    <row r="193" spans="1:5" x14ac:dyDescent="0.2">
      <c r="A193" t="s">
        <v>171</v>
      </c>
      <c r="E193" t="s">
        <v>172</v>
      </c>
    </row>
    <row r="194" spans="1:5" x14ac:dyDescent="0.2">
      <c r="A194" t="s">
        <v>173</v>
      </c>
      <c r="E194" t="s">
        <v>40</v>
      </c>
    </row>
    <row r="195" spans="1:5" x14ac:dyDescent="0.2">
      <c r="A195" t="s">
        <v>174</v>
      </c>
      <c r="E195" t="s">
        <v>175</v>
      </c>
    </row>
    <row r="196" spans="1:5" x14ac:dyDescent="0.2">
      <c r="A196" t="s">
        <v>176</v>
      </c>
      <c r="E196" t="s">
        <v>177</v>
      </c>
    </row>
    <row r="197" spans="1:5" x14ac:dyDescent="0.2">
      <c r="A197" t="s">
        <v>178</v>
      </c>
      <c r="E197" t="s">
        <v>179</v>
      </c>
    </row>
    <row r="199" spans="1:5" x14ac:dyDescent="0.2">
      <c r="A199" t="s">
        <v>180</v>
      </c>
    </row>
    <row r="200" spans="1:5" x14ac:dyDescent="0.2">
      <c r="A200" t="s">
        <v>181</v>
      </c>
    </row>
    <row r="201" spans="1:5" x14ac:dyDescent="0.2">
      <c r="A201" t="s">
        <v>182</v>
      </c>
    </row>
    <row r="202" spans="1:5" x14ac:dyDescent="0.2">
      <c r="A202" t="s">
        <v>183</v>
      </c>
      <c r="E202" t="s">
        <v>184</v>
      </c>
    </row>
    <row r="203" spans="1:5" x14ac:dyDescent="0.2">
      <c r="A203" t="s">
        <v>185</v>
      </c>
      <c r="E203">
        <v>500</v>
      </c>
    </row>
    <row r="204" spans="1:5" x14ac:dyDescent="0.2">
      <c r="A204" t="s">
        <v>186</v>
      </c>
      <c r="E204" t="s">
        <v>187</v>
      </c>
    </row>
    <row r="205" spans="1:5" x14ac:dyDescent="0.2">
      <c r="A205" t="s">
        <v>188</v>
      </c>
      <c r="E205" t="s">
        <v>189</v>
      </c>
    </row>
    <row r="206" spans="1:5" x14ac:dyDescent="0.2">
      <c r="A206" t="s">
        <v>190</v>
      </c>
      <c r="E206" t="s">
        <v>191</v>
      </c>
    </row>
    <row r="207" spans="1:5" x14ac:dyDescent="0.2">
      <c r="A207" t="s">
        <v>192</v>
      </c>
      <c r="E207">
        <v>1</v>
      </c>
    </row>
    <row r="208" spans="1:5" x14ac:dyDescent="0.2">
      <c r="A208" t="s">
        <v>193</v>
      </c>
      <c r="E208">
        <v>1</v>
      </c>
    </row>
    <row r="209" spans="1:5" x14ac:dyDescent="0.2">
      <c r="A209" t="s">
        <v>194</v>
      </c>
    </row>
    <row r="210" spans="1:5" x14ac:dyDescent="0.2">
      <c r="A210" t="s">
        <v>195</v>
      </c>
      <c r="E210" t="s">
        <v>23</v>
      </c>
    </row>
    <row r="211" spans="1:5" x14ac:dyDescent="0.2">
      <c r="A211" t="s">
        <v>196</v>
      </c>
      <c r="E211" t="s">
        <v>197</v>
      </c>
    </row>
    <row r="213" spans="1:5" x14ac:dyDescent="0.2">
      <c r="A213" t="s">
        <v>198</v>
      </c>
    </row>
    <row r="214" spans="1:5" x14ac:dyDescent="0.2">
      <c r="A214" t="s">
        <v>199</v>
      </c>
      <c r="E214" t="s">
        <v>23</v>
      </c>
    </row>
    <row r="215" spans="1:5" x14ac:dyDescent="0.2">
      <c r="A215" t="s">
        <v>200</v>
      </c>
      <c r="E215" t="s">
        <v>11</v>
      </c>
    </row>
    <row r="216" spans="1:5" x14ac:dyDescent="0.2">
      <c r="A216" t="s">
        <v>201</v>
      </c>
      <c r="E216" t="s">
        <v>202</v>
      </c>
    </row>
    <row r="217" spans="1:5" x14ac:dyDescent="0.2">
      <c r="A217" t="s">
        <v>203</v>
      </c>
      <c r="E217" t="s">
        <v>204</v>
      </c>
    </row>
    <row r="218" spans="1:5" x14ac:dyDescent="0.2">
      <c r="A218" t="s">
        <v>205</v>
      </c>
      <c r="E218">
        <v>10</v>
      </c>
    </row>
    <row r="219" spans="1:5" x14ac:dyDescent="0.2">
      <c r="A219" t="s">
        <v>206</v>
      </c>
      <c r="E219">
        <v>9</v>
      </c>
    </row>
    <row r="220" spans="1:5" x14ac:dyDescent="0.2">
      <c r="A220" t="s">
        <v>207</v>
      </c>
      <c r="E220" s="3">
        <v>1</v>
      </c>
    </row>
    <row r="221" spans="1:5" x14ac:dyDescent="0.2">
      <c r="A221" t="s">
        <v>208</v>
      </c>
      <c r="E221" s="3">
        <v>1</v>
      </c>
    </row>
    <row r="222" spans="1:5" x14ac:dyDescent="0.2">
      <c r="A222" t="s">
        <v>209</v>
      </c>
      <c r="E222" s="3">
        <v>1</v>
      </c>
    </row>
    <row r="223" spans="1:5" x14ac:dyDescent="0.2">
      <c r="A223" t="s">
        <v>210</v>
      </c>
      <c r="E223">
        <v>1</v>
      </c>
    </row>
    <row r="224" spans="1:5" x14ac:dyDescent="0.2">
      <c r="A224" t="s">
        <v>211</v>
      </c>
      <c r="E224">
        <v>63609</v>
      </c>
    </row>
    <row r="225" spans="1:5" x14ac:dyDescent="0.2">
      <c r="A225" t="s">
        <v>212</v>
      </c>
      <c r="E225" s="1">
        <v>44221.718761574077</v>
      </c>
    </row>
    <row r="226" spans="1:5" x14ac:dyDescent="0.2">
      <c r="A226" t="s">
        <v>213</v>
      </c>
      <c r="E226" t="s">
        <v>214</v>
      </c>
    </row>
    <row r="227" spans="1:5" x14ac:dyDescent="0.2">
      <c r="A227" t="s">
        <v>215</v>
      </c>
      <c r="E227" t="s">
        <v>40</v>
      </c>
    </row>
    <row r="229" spans="1:5" x14ac:dyDescent="0.2">
      <c r="A229" t="s">
        <v>216</v>
      </c>
    </row>
    <row r="230" spans="1:5" x14ac:dyDescent="0.2">
      <c r="A230" t="s">
        <v>217</v>
      </c>
      <c r="E230">
        <v>140</v>
      </c>
    </row>
    <row r="231" spans="1:5" x14ac:dyDescent="0.2">
      <c r="A231" t="s">
        <v>218</v>
      </c>
      <c r="E231" t="s">
        <v>149</v>
      </c>
    </row>
    <row r="232" spans="1:5" x14ac:dyDescent="0.2">
      <c r="A232" t="s">
        <v>219</v>
      </c>
      <c r="E232" t="s">
        <v>220</v>
      </c>
    </row>
    <row r="233" spans="1:5" x14ac:dyDescent="0.2">
      <c r="A233" t="s">
        <v>221</v>
      </c>
    </row>
    <row r="234" spans="1:5" x14ac:dyDescent="0.2">
      <c r="A234" t="s">
        <v>212</v>
      </c>
      <c r="E234" s="4">
        <v>40544</v>
      </c>
    </row>
    <row r="235" spans="1:5" x14ac:dyDescent="0.2">
      <c r="A235" t="s">
        <v>213</v>
      </c>
      <c r="E235" t="s">
        <v>222</v>
      </c>
    </row>
    <row r="236" spans="1:5" x14ac:dyDescent="0.2">
      <c r="A236" t="s">
        <v>215</v>
      </c>
      <c r="E236" t="s">
        <v>172</v>
      </c>
    </row>
    <row r="238" spans="1:5" x14ac:dyDescent="0.2">
      <c r="A238" t="s">
        <v>223</v>
      </c>
      <c r="E238">
        <v>141</v>
      </c>
    </row>
    <row r="239" spans="1:5" x14ac:dyDescent="0.2">
      <c r="A239" t="s">
        <v>218</v>
      </c>
      <c r="E239" t="s">
        <v>149</v>
      </c>
    </row>
    <row r="240" spans="1:5" x14ac:dyDescent="0.2">
      <c r="A240" t="s">
        <v>219</v>
      </c>
      <c r="E240" t="s">
        <v>224</v>
      </c>
    </row>
    <row r="241" spans="1:5" x14ac:dyDescent="0.2">
      <c r="A241" t="s">
        <v>221</v>
      </c>
    </row>
    <row r="242" spans="1:5" x14ac:dyDescent="0.2">
      <c r="A242" t="s">
        <v>212</v>
      </c>
      <c r="E242" s="4">
        <v>40544</v>
      </c>
    </row>
    <row r="243" spans="1:5" x14ac:dyDescent="0.2">
      <c r="A243" t="s">
        <v>213</v>
      </c>
      <c r="E243" t="s">
        <v>222</v>
      </c>
    </row>
    <row r="244" spans="1:5" x14ac:dyDescent="0.2">
      <c r="A244" t="s">
        <v>215</v>
      </c>
      <c r="E244" t="s">
        <v>172</v>
      </c>
    </row>
    <row r="246" spans="1:5" x14ac:dyDescent="0.2">
      <c r="A246" t="s">
        <v>225</v>
      </c>
      <c r="E246">
        <v>142</v>
      </c>
    </row>
    <row r="247" spans="1:5" x14ac:dyDescent="0.2">
      <c r="A247" t="s">
        <v>218</v>
      </c>
      <c r="E247" t="s">
        <v>149</v>
      </c>
    </row>
    <row r="248" spans="1:5" x14ac:dyDescent="0.2">
      <c r="A248" t="s">
        <v>219</v>
      </c>
      <c r="E248" t="s">
        <v>226</v>
      </c>
    </row>
    <row r="249" spans="1:5" x14ac:dyDescent="0.2">
      <c r="A249" t="s">
        <v>221</v>
      </c>
    </row>
    <row r="250" spans="1:5" x14ac:dyDescent="0.2">
      <c r="A250" t="s">
        <v>212</v>
      </c>
      <c r="E250" s="4">
        <v>40544</v>
      </c>
    </row>
    <row r="251" spans="1:5" x14ac:dyDescent="0.2">
      <c r="A251" t="s">
        <v>213</v>
      </c>
      <c r="E251" t="s">
        <v>222</v>
      </c>
    </row>
    <row r="252" spans="1:5" x14ac:dyDescent="0.2">
      <c r="A252" t="s">
        <v>215</v>
      </c>
      <c r="E252" t="s">
        <v>172</v>
      </c>
    </row>
    <row r="254" spans="1:5" x14ac:dyDescent="0.2">
      <c r="A254" t="s">
        <v>227</v>
      </c>
    </row>
    <row r="255" spans="1:5" x14ac:dyDescent="0.2">
      <c r="A255" t="s">
        <v>228</v>
      </c>
      <c r="E255">
        <v>23000584</v>
      </c>
    </row>
    <row r="256" spans="1:5" x14ac:dyDescent="0.2">
      <c r="A256" t="s">
        <v>229</v>
      </c>
      <c r="E256" t="s">
        <v>214</v>
      </c>
    </row>
    <row r="263" spans="1:1" x14ac:dyDescent="0.2">
      <c r="A263" t="s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8B3B-E996-B045-8305-D9E5D241DCDF}">
  <sheetPr>
    <pageSetUpPr fitToPage="1"/>
  </sheetPr>
  <dimension ref="A1:T43"/>
  <sheetViews>
    <sheetView tabSelected="1" topLeftCell="A11" workbookViewId="0">
      <selection activeCell="O46" sqref="O46"/>
    </sheetView>
  </sheetViews>
  <sheetFormatPr baseColWidth="10" defaultRowHeight="16" x14ac:dyDescent="0.2"/>
  <sheetData>
    <row r="1" spans="1:12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2" x14ac:dyDescent="0.2">
      <c r="A2" t="s">
        <v>22</v>
      </c>
      <c r="B2">
        <v>1982.10288249</v>
      </c>
      <c r="C2">
        <v>1982.10288249</v>
      </c>
      <c r="D2">
        <v>-8.3436865114999996</v>
      </c>
      <c r="E2">
        <v>-8.3436865114999996</v>
      </c>
      <c r="F2">
        <v>1050.5890700299999</v>
      </c>
      <c r="G2">
        <v>1050.5890700299999</v>
      </c>
      <c r="H2">
        <v>474.22167617100001</v>
      </c>
      <c r="I2">
        <v>474.22167617100001</v>
      </c>
      <c r="J2">
        <v>550.67304261799995</v>
      </c>
      <c r="K2">
        <v>550.67304261799995</v>
      </c>
    </row>
    <row r="3" spans="1:12" x14ac:dyDescent="0.2">
      <c r="A3" t="s">
        <v>23</v>
      </c>
      <c r="B3">
        <v>1498.45310326</v>
      </c>
      <c r="C3">
        <v>1498.45310326</v>
      </c>
      <c r="D3">
        <v>-12.681352692999999</v>
      </c>
      <c r="E3">
        <v>-12.681352692999999</v>
      </c>
      <c r="F3">
        <v>1122.16056202</v>
      </c>
      <c r="G3">
        <v>1122.16056202</v>
      </c>
      <c r="H3">
        <v>364.15339681799998</v>
      </c>
      <c r="I3">
        <v>364.15339681799998</v>
      </c>
      <c r="J3">
        <v>647.72832342799995</v>
      </c>
      <c r="K3">
        <v>647.72832342799995</v>
      </c>
    </row>
    <row r="4" spans="1:12" x14ac:dyDescent="0.2">
      <c r="A4" t="s">
        <v>24</v>
      </c>
      <c r="B4">
        <v>1022.39423985</v>
      </c>
      <c r="C4">
        <v>1022.39423985</v>
      </c>
      <c r="D4">
        <v>1621.5343811600001</v>
      </c>
      <c r="E4">
        <v>1621.5343811600001</v>
      </c>
      <c r="F4">
        <v>982.81303594200006</v>
      </c>
      <c r="G4">
        <v>982.81303594200006</v>
      </c>
      <c r="H4">
        <v>408.61447517699997</v>
      </c>
      <c r="I4">
        <v>408.61447517699997</v>
      </c>
    </row>
    <row r="5" spans="1:12" x14ac:dyDescent="0.2">
      <c r="A5" t="s">
        <v>25</v>
      </c>
      <c r="B5">
        <v>766.47193514399999</v>
      </c>
      <c r="C5">
        <v>766.47193514399999</v>
      </c>
      <c r="D5">
        <v>1866.6125204099999</v>
      </c>
      <c r="E5">
        <v>1866.6125204099999</v>
      </c>
      <c r="F5">
        <v>1000.70590894</v>
      </c>
      <c r="G5">
        <v>1000.70590894</v>
      </c>
      <c r="H5">
        <v>517.05612971200003</v>
      </c>
      <c r="I5">
        <v>517.05612971200003</v>
      </c>
    </row>
    <row r="6" spans="1:12" x14ac:dyDescent="0.2">
      <c r="A6" t="s">
        <v>26</v>
      </c>
      <c r="B6">
        <v>511.09183871300002</v>
      </c>
      <c r="C6">
        <v>511.09183871300002</v>
      </c>
      <c r="D6">
        <v>1363.44324336</v>
      </c>
      <c r="E6">
        <v>1363.44324336</v>
      </c>
      <c r="F6">
        <v>956.78703885300001</v>
      </c>
      <c r="G6">
        <v>956.78703885300001</v>
      </c>
      <c r="H6">
        <v>417.28980754000003</v>
      </c>
      <c r="I6">
        <v>417.28980754000003</v>
      </c>
    </row>
    <row r="7" spans="1:12" x14ac:dyDescent="0.2">
      <c r="A7" t="s">
        <v>27</v>
      </c>
      <c r="B7">
        <v>245.40978510100001</v>
      </c>
      <c r="C7">
        <v>245.40978510100001</v>
      </c>
      <c r="D7">
        <v>1533.15443271</v>
      </c>
      <c r="E7">
        <v>1533.15443271</v>
      </c>
      <c r="F7">
        <v>1099.93002284</v>
      </c>
      <c r="G7">
        <v>1099.93002284</v>
      </c>
      <c r="H7">
        <v>595.67632925099997</v>
      </c>
      <c r="I7">
        <v>595.67632925099997</v>
      </c>
    </row>
    <row r="8" spans="1:12" x14ac:dyDescent="0.2">
      <c r="A8" t="s">
        <v>28</v>
      </c>
      <c r="B8">
        <v>119.075257568</v>
      </c>
      <c r="C8">
        <v>119.075257568</v>
      </c>
      <c r="D8">
        <v>1517.9726010700001</v>
      </c>
      <c r="E8">
        <v>1517.9726010700001</v>
      </c>
      <c r="F8">
        <v>324.57219291199999</v>
      </c>
      <c r="G8">
        <v>324.57219291199999</v>
      </c>
      <c r="H8">
        <v>598.38737061400002</v>
      </c>
      <c r="I8">
        <v>598.38737061400002</v>
      </c>
    </row>
    <row r="9" spans="1:12" x14ac:dyDescent="0.2">
      <c r="A9" t="s">
        <v>29</v>
      </c>
      <c r="B9">
        <v>13.3446443956</v>
      </c>
      <c r="C9">
        <v>13.3446443956</v>
      </c>
      <c r="D9">
        <v>1439.3524015400001</v>
      </c>
      <c r="E9">
        <v>1439.3524015400001</v>
      </c>
      <c r="F9">
        <v>498.07884016899999</v>
      </c>
      <c r="G9">
        <v>498.07884016899999</v>
      </c>
      <c r="H9">
        <v>508.92300562200001</v>
      </c>
      <c r="I9">
        <v>508.92300562200001</v>
      </c>
    </row>
    <row r="11" spans="1:12" x14ac:dyDescent="0.2">
      <c r="A11" s="6"/>
      <c r="B11" s="6"/>
      <c r="C11" s="6"/>
      <c r="D11" s="6" t="s">
        <v>239</v>
      </c>
      <c r="E11" s="6" t="s">
        <v>240</v>
      </c>
      <c r="F11" s="6" t="s">
        <v>242</v>
      </c>
      <c r="G11" s="6" t="s">
        <v>241</v>
      </c>
      <c r="H11" s="6" t="s">
        <v>251</v>
      </c>
      <c r="I11" s="6" t="s">
        <v>252</v>
      </c>
      <c r="J11" s="6" t="s">
        <v>253</v>
      </c>
      <c r="K11" s="6" t="s">
        <v>254</v>
      </c>
      <c r="L11" s="6" t="s">
        <v>255</v>
      </c>
    </row>
    <row r="12" spans="1:12" x14ac:dyDescent="0.2">
      <c r="A12" s="6" t="s">
        <v>237</v>
      </c>
      <c r="B12" s="6" t="s">
        <v>231</v>
      </c>
      <c r="C12" s="6">
        <v>1621.5343811600001</v>
      </c>
      <c r="D12" s="7">
        <v>4</v>
      </c>
      <c r="E12" s="7">
        <f>C12*(10/4)</f>
        <v>4053.8359528999999</v>
      </c>
      <c r="F12" s="7">
        <f>E12/1000</f>
        <v>4.0538359529000001</v>
      </c>
      <c r="G12" s="7">
        <f>5/F12</f>
        <v>1.2333996881208626</v>
      </c>
      <c r="H12" s="7">
        <f>2/F12</f>
        <v>0.49335987524834507</v>
      </c>
      <c r="I12" s="6"/>
      <c r="J12" s="7">
        <f>40/F12</f>
        <v>9.8671975049669012</v>
      </c>
      <c r="K12" s="7">
        <f>100/6</f>
        <v>16.666666666666668</v>
      </c>
      <c r="L12" s="7">
        <f>100-J12-K12</f>
        <v>73.466135828366433</v>
      </c>
    </row>
    <row r="13" spans="1:12" x14ac:dyDescent="0.2">
      <c r="A13" s="6" t="s">
        <v>237</v>
      </c>
      <c r="B13" s="6" t="s">
        <v>232</v>
      </c>
      <c r="C13" s="6">
        <v>1866.6125204099999</v>
      </c>
      <c r="D13" s="7">
        <v>4</v>
      </c>
      <c r="E13" s="7">
        <f t="shared" ref="E13:E35" si="0">C13*(10/4)</f>
        <v>4666.5313010249993</v>
      </c>
      <c r="F13" s="7">
        <f t="shared" ref="F13:F35" si="1">E13/1000</f>
        <v>4.6665313010249996</v>
      </c>
      <c r="G13" s="7">
        <f t="shared" ref="G13:G35" si="2">5/F13</f>
        <v>1.0714596511764003</v>
      </c>
      <c r="H13" s="7">
        <f t="shared" ref="H13:H17" si="3">2/F13</f>
        <v>0.42858386047056019</v>
      </c>
      <c r="I13" s="6"/>
      <c r="J13" s="7">
        <f t="shared" ref="J13:J17" si="4">40/F13</f>
        <v>8.5716772094112024</v>
      </c>
      <c r="K13" s="7">
        <f t="shared" ref="K13:K17" si="5">100/6</f>
        <v>16.666666666666668</v>
      </c>
      <c r="L13" s="7">
        <f t="shared" ref="L13:L17" si="6">100-J13-K13</f>
        <v>74.761656123922123</v>
      </c>
    </row>
    <row r="14" spans="1:12" x14ac:dyDescent="0.2">
      <c r="A14" s="6" t="s">
        <v>237</v>
      </c>
      <c r="B14" s="6" t="s">
        <v>233</v>
      </c>
      <c r="C14" s="6">
        <v>1363.44324336</v>
      </c>
      <c r="D14" s="7">
        <v>4</v>
      </c>
      <c r="E14" s="7">
        <f t="shared" si="0"/>
        <v>3408.6081083999998</v>
      </c>
      <c r="F14" s="7">
        <f t="shared" si="1"/>
        <v>3.4086081083999997</v>
      </c>
      <c r="G14" s="7">
        <f t="shared" si="2"/>
        <v>1.4668744076734006</v>
      </c>
      <c r="H14" s="7">
        <f t="shared" si="3"/>
        <v>0.58674976306936022</v>
      </c>
      <c r="I14" s="6"/>
      <c r="J14" s="7">
        <f t="shared" si="4"/>
        <v>11.734995261387205</v>
      </c>
      <c r="K14" s="7">
        <f t="shared" si="5"/>
        <v>16.666666666666668</v>
      </c>
      <c r="L14" s="7">
        <f t="shared" si="6"/>
        <v>71.598338071946117</v>
      </c>
    </row>
    <row r="15" spans="1:12" x14ac:dyDescent="0.2">
      <c r="A15" s="6" t="s">
        <v>237</v>
      </c>
      <c r="B15" s="6" t="s">
        <v>234</v>
      </c>
      <c r="C15" s="6">
        <v>1533.15443271</v>
      </c>
      <c r="D15" s="7">
        <v>4</v>
      </c>
      <c r="E15" s="7">
        <f t="shared" si="0"/>
        <v>3832.8860817750001</v>
      </c>
      <c r="F15" s="7">
        <f t="shared" si="1"/>
        <v>3.8328860817749999</v>
      </c>
      <c r="G15" s="7">
        <f t="shared" si="2"/>
        <v>1.304500027740066</v>
      </c>
      <c r="H15" s="7">
        <f t="shared" si="3"/>
        <v>0.52180001109602636</v>
      </c>
      <c r="I15" s="6"/>
      <c r="J15" s="7">
        <f t="shared" si="4"/>
        <v>10.436000221920528</v>
      </c>
      <c r="K15" s="7">
        <f t="shared" si="5"/>
        <v>16.666666666666668</v>
      </c>
      <c r="L15" s="7">
        <f t="shared" si="6"/>
        <v>72.897333111412806</v>
      </c>
    </row>
    <row r="16" spans="1:12" x14ac:dyDescent="0.2">
      <c r="A16" s="6" t="s">
        <v>237</v>
      </c>
      <c r="B16" s="6" t="s">
        <v>235</v>
      </c>
      <c r="C16" s="6">
        <v>1517.9726010700001</v>
      </c>
      <c r="D16" s="7">
        <v>4</v>
      </c>
      <c r="E16" s="7">
        <f t="shared" si="0"/>
        <v>3794.931502675</v>
      </c>
      <c r="F16" s="7">
        <f t="shared" si="1"/>
        <v>3.7949315026749999</v>
      </c>
      <c r="G16" s="7">
        <f t="shared" si="2"/>
        <v>1.3175468375319983</v>
      </c>
      <c r="H16" s="7">
        <f t="shared" si="3"/>
        <v>0.52701873501279928</v>
      </c>
      <c r="I16" s="6"/>
      <c r="J16" s="7">
        <f t="shared" si="4"/>
        <v>10.540374700255986</v>
      </c>
      <c r="K16" s="7">
        <f t="shared" si="5"/>
        <v>16.666666666666668</v>
      </c>
      <c r="L16" s="7">
        <f t="shared" si="6"/>
        <v>72.792958633077347</v>
      </c>
    </row>
    <row r="17" spans="1:12" x14ac:dyDescent="0.2">
      <c r="A17" s="6" t="s">
        <v>237</v>
      </c>
      <c r="B17" s="6" t="s">
        <v>236</v>
      </c>
      <c r="C17" s="6">
        <v>1439.3524015400001</v>
      </c>
      <c r="D17" s="7">
        <v>4</v>
      </c>
      <c r="E17" s="7">
        <f t="shared" si="0"/>
        <v>3598.3810038500001</v>
      </c>
      <c r="F17" s="7">
        <f t="shared" si="1"/>
        <v>3.5983810038500001</v>
      </c>
      <c r="G17" s="7">
        <f t="shared" si="2"/>
        <v>1.3895137826290134</v>
      </c>
      <c r="H17" s="7">
        <f t="shared" si="3"/>
        <v>0.5558055130516053</v>
      </c>
      <c r="I17" s="6"/>
      <c r="J17" s="7">
        <f t="shared" si="4"/>
        <v>11.116110261032107</v>
      </c>
      <c r="K17" s="7">
        <f t="shared" si="5"/>
        <v>16.666666666666668</v>
      </c>
      <c r="L17" s="7">
        <f t="shared" si="6"/>
        <v>72.217223072301223</v>
      </c>
    </row>
    <row r="18" spans="1:12" x14ac:dyDescent="0.2">
      <c r="A18" t="s">
        <v>238</v>
      </c>
      <c r="B18" t="s">
        <v>231</v>
      </c>
      <c r="C18">
        <v>1050.5890700299999</v>
      </c>
      <c r="D18" s="5">
        <v>4</v>
      </c>
      <c r="E18" s="5">
        <f t="shared" si="0"/>
        <v>2626.4726750749996</v>
      </c>
      <c r="F18" s="5">
        <f t="shared" si="1"/>
        <v>2.6264726750749996</v>
      </c>
      <c r="G18" s="5">
        <f t="shared" si="2"/>
        <v>1.9036938961709258</v>
      </c>
      <c r="I18" s="5">
        <f>10/F18</f>
        <v>3.8073877923418515</v>
      </c>
    </row>
    <row r="19" spans="1:12" x14ac:dyDescent="0.2">
      <c r="A19" t="s">
        <v>238</v>
      </c>
      <c r="B19" t="s">
        <v>232</v>
      </c>
      <c r="C19">
        <v>1122.16056202</v>
      </c>
      <c r="D19" s="5">
        <v>4</v>
      </c>
      <c r="E19" s="5">
        <f t="shared" si="0"/>
        <v>2805.40140505</v>
      </c>
      <c r="F19" s="5">
        <f t="shared" si="1"/>
        <v>2.80540140505</v>
      </c>
      <c r="G19" s="5">
        <f t="shared" si="2"/>
        <v>1.7822761445116215</v>
      </c>
      <c r="I19" s="5">
        <f t="shared" ref="I19:I35" si="7">10/F19</f>
        <v>3.5645522890232431</v>
      </c>
    </row>
    <row r="20" spans="1:12" x14ac:dyDescent="0.2">
      <c r="A20" t="s">
        <v>238</v>
      </c>
      <c r="B20" t="s">
        <v>233</v>
      </c>
      <c r="C20">
        <v>982.81303594200006</v>
      </c>
      <c r="D20" s="5">
        <v>4</v>
      </c>
      <c r="E20" s="5">
        <f t="shared" si="0"/>
        <v>2457.032589855</v>
      </c>
      <c r="F20" s="5">
        <f t="shared" si="1"/>
        <v>2.4570325898549998</v>
      </c>
      <c r="G20" s="5">
        <f t="shared" si="2"/>
        <v>2.0349750429216211</v>
      </c>
      <c r="I20" s="5">
        <f t="shared" si="7"/>
        <v>4.0699500858432422</v>
      </c>
    </row>
    <row r="21" spans="1:12" x14ac:dyDescent="0.2">
      <c r="A21" t="s">
        <v>238</v>
      </c>
      <c r="B21" t="s">
        <v>234</v>
      </c>
      <c r="C21">
        <v>1000.70590894</v>
      </c>
      <c r="D21" s="5">
        <v>4</v>
      </c>
      <c r="E21" s="5">
        <f t="shared" si="0"/>
        <v>2501.7647723499999</v>
      </c>
      <c r="F21" s="5">
        <f t="shared" si="1"/>
        <v>2.5017647723500001</v>
      </c>
      <c r="G21" s="5">
        <f t="shared" si="2"/>
        <v>1.9985891780318401</v>
      </c>
      <c r="I21" s="5">
        <f t="shared" si="7"/>
        <v>3.9971783560636802</v>
      </c>
    </row>
    <row r="22" spans="1:12" x14ac:dyDescent="0.2">
      <c r="A22" t="s">
        <v>238</v>
      </c>
      <c r="B22" t="s">
        <v>235</v>
      </c>
      <c r="C22">
        <v>956.78703885300001</v>
      </c>
      <c r="D22" s="5">
        <v>4</v>
      </c>
      <c r="E22" s="5">
        <f t="shared" si="0"/>
        <v>2391.9675971325</v>
      </c>
      <c r="F22" s="5">
        <f t="shared" si="1"/>
        <v>2.3919675971325001</v>
      </c>
      <c r="G22" s="5">
        <f t="shared" si="2"/>
        <v>2.0903293196755754</v>
      </c>
      <c r="I22" s="5">
        <f t="shared" si="7"/>
        <v>4.1806586393511509</v>
      </c>
    </row>
    <row r="23" spans="1:12" x14ac:dyDescent="0.2">
      <c r="A23" t="s">
        <v>238</v>
      </c>
      <c r="B23" t="s">
        <v>236</v>
      </c>
      <c r="C23">
        <v>1099.93002284</v>
      </c>
      <c r="D23" s="5">
        <v>4</v>
      </c>
      <c r="E23" s="5">
        <f t="shared" si="0"/>
        <v>2749.8250570999999</v>
      </c>
      <c r="F23" s="5">
        <f t="shared" si="1"/>
        <v>2.7498250570999998</v>
      </c>
      <c r="G23" s="5">
        <f t="shared" si="2"/>
        <v>1.8182974902676401</v>
      </c>
      <c r="I23" s="5">
        <f t="shared" si="7"/>
        <v>3.6365949805352802</v>
      </c>
    </row>
    <row r="24" spans="1:12" x14ac:dyDescent="0.2">
      <c r="A24" t="s">
        <v>231</v>
      </c>
      <c r="B24" t="s">
        <v>231</v>
      </c>
      <c r="C24">
        <v>324.57219291199999</v>
      </c>
      <c r="D24" s="5">
        <v>4</v>
      </c>
      <c r="E24" s="5">
        <f t="shared" si="0"/>
        <v>811.43048227999998</v>
      </c>
      <c r="F24" s="5">
        <f t="shared" si="1"/>
        <v>0.81143048228000003</v>
      </c>
      <c r="G24" s="5">
        <f t="shared" si="2"/>
        <v>6.1619573200537614</v>
      </c>
      <c r="I24" s="5">
        <f t="shared" si="7"/>
        <v>12.323914640107523</v>
      </c>
    </row>
    <row r="25" spans="1:12" x14ac:dyDescent="0.2">
      <c r="A25" t="s">
        <v>231</v>
      </c>
      <c r="B25" t="s">
        <v>232</v>
      </c>
      <c r="C25">
        <v>498.07884016899999</v>
      </c>
      <c r="D25" s="5">
        <v>4</v>
      </c>
      <c r="E25" s="5">
        <f t="shared" si="0"/>
        <v>1245.1971004224999</v>
      </c>
      <c r="F25" s="5">
        <f t="shared" si="1"/>
        <v>1.2451971004225</v>
      </c>
      <c r="G25" s="5">
        <f t="shared" si="2"/>
        <v>4.0154285601078588</v>
      </c>
      <c r="I25" s="5">
        <f t="shared" si="7"/>
        <v>8.0308571202157175</v>
      </c>
    </row>
    <row r="26" spans="1:12" x14ac:dyDescent="0.2">
      <c r="A26" t="s">
        <v>231</v>
      </c>
      <c r="B26" t="s">
        <v>233</v>
      </c>
      <c r="C26">
        <v>474.22167617100001</v>
      </c>
      <c r="D26" s="5">
        <v>4</v>
      </c>
      <c r="E26" s="5">
        <f t="shared" si="0"/>
        <v>1185.5541904275001</v>
      </c>
      <c r="F26" s="5">
        <f t="shared" si="1"/>
        <v>1.1855541904275</v>
      </c>
      <c r="G26" s="5">
        <f t="shared" si="2"/>
        <v>4.2174369087228696</v>
      </c>
      <c r="I26" s="5">
        <f t="shared" si="7"/>
        <v>8.4348738174457392</v>
      </c>
    </row>
    <row r="27" spans="1:12" x14ac:dyDescent="0.2">
      <c r="A27" t="s">
        <v>231</v>
      </c>
      <c r="B27" t="s">
        <v>234</v>
      </c>
      <c r="C27">
        <v>364.15339681799998</v>
      </c>
      <c r="D27" s="5">
        <v>4</v>
      </c>
      <c r="E27" s="5">
        <f t="shared" si="0"/>
        <v>910.38349204499991</v>
      </c>
      <c r="F27" s="5">
        <f t="shared" si="1"/>
        <v>0.91038349204499991</v>
      </c>
      <c r="G27" s="5">
        <f t="shared" si="2"/>
        <v>5.4921909763197378</v>
      </c>
      <c r="I27" s="5">
        <f t="shared" si="7"/>
        <v>10.984381952639476</v>
      </c>
    </row>
    <row r="28" spans="1:12" x14ac:dyDescent="0.2">
      <c r="A28" t="s">
        <v>231</v>
      </c>
      <c r="B28" t="s">
        <v>235</v>
      </c>
      <c r="C28">
        <v>408.61447517699997</v>
      </c>
      <c r="D28" s="5">
        <v>4</v>
      </c>
      <c r="E28" s="5">
        <f t="shared" si="0"/>
        <v>1021.5361879425</v>
      </c>
      <c r="F28" s="5">
        <f t="shared" si="1"/>
        <v>1.0215361879425</v>
      </c>
      <c r="G28" s="5">
        <f t="shared" si="2"/>
        <v>4.8945892069380497</v>
      </c>
      <c r="I28" s="5">
        <f t="shared" si="7"/>
        <v>9.7891784138760993</v>
      </c>
    </row>
    <row r="29" spans="1:12" x14ac:dyDescent="0.2">
      <c r="A29" t="s">
        <v>231</v>
      </c>
      <c r="B29" t="s">
        <v>236</v>
      </c>
      <c r="C29">
        <v>517.05612971200003</v>
      </c>
      <c r="D29" s="5">
        <v>4</v>
      </c>
      <c r="E29" s="5">
        <f t="shared" si="0"/>
        <v>1292.6403242800002</v>
      </c>
      <c r="F29" s="5">
        <f t="shared" si="1"/>
        <v>1.2926403242800002</v>
      </c>
      <c r="G29" s="5">
        <f t="shared" si="2"/>
        <v>3.8680520064891186</v>
      </c>
      <c r="I29" s="5">
        <f t="shared" si="7"/>
        <v>7.7361040129782372</v>
      </c>
    </row>
    <row r="30" spans="1:12" x14ac:dyDescent="0.2">
      <c r="A30" t="s">
        <v>232</v>
      </c>
      <c r="B30" t="s">
        <v>231</v>
      </c>
      <c r="C30">
        <v>417.28980754000003</v>
      </c>
      <c r="D30" s="5">
        <v>4</v>
      </c>
      <c r="E30" s="5">
        <f t="shared" si="0"/>
        <v>1043.2245188500001</v>
      </c>
      <c r="F30" s="5">
        <f>E30/1000</f>
        <v>1.04322451885</v>
      </c>
      <c r="G30" s="5">
        <f t="shared" si="2"/>
        <v>4.7928321369514562</v>
      </c>
      <c r="I30" s="5">
        <f t="shared" si="7"/>
        <v>9.5856642739029123</v>
      </c>
    </row>
    <row r="31" spans="1:12" x14ac:dyDescent="0.2">
      <c r="A31" t="s">
        <v>232</v>
      </c>
      <c r="B31" t="s">
        <v>232</v>
      </c>
      <c r="C31">
        <v>595.67632925099997</v>
      </c>
      <c r="D31" s="5">
        <v>4</v>
      </c>
      <c r="E31" s="5">
        <f t="shared" si="0"/>
        <v>1489.1908231274999</v>
      </c>
      <c r="F31" s="5">
        <f t="shared" si="1"/>
        <v>1.4891908231275</v>
      </c>
      <c r="G31" s="5">
        <f t="shared" si="2"/>
        <v>3.3575280765559183</v>
      </c>
      <c r="I31" s="5">
        <f t="shared" si="7"/>
        <v>6.7150561531118367</v>
      </c>
    </row>
    <row r="32" spans="1:12" x14ac:dyDescent="0.2">
      <c r="A32" t="s">
        <v>232</v>
      </c>
      <c r="B32" t="s">
        <v>233</v>
      </c>
      <c r="C32">
        <v>598.38737061400002</v>
      </c>
      <c r="D32" s="5">
        <v>4</v>
      </c>
      <c r="E32" s="5">
        <f t="shared" si="0"/>
        <v>1495.9684265350002</v>
      </c>
      <c r="F32" s="5">
        <f t="shared" si="1"/>
        <v>1.4959684265350002</v>
      </c>
      <c r="G32" s="5">
        <f t="shared" si="2"/>
        <v>3.3423165297553279</v>
      </c>
      <c r="I32" s="5">
        <f t="shared" si="7"/>
        <v>6.6846330595106558</v>
      </c>
    </row>
    <row r="33" spans="1:20" x14ac:dyDescent="0.2">
      <c r="A33" t="s">
        <v>232</v>
      </c>
      <c r="B33" t="s">
        <v>234</v>
      </c>
      <c r="C33">
        <v>508.92300562200001</v>
      </c>
      <c r="D33" s="5">
        <v>4</v>
      </c>
      <c r="E33" s="5">
        <f t="shared" si="0"/>
        <v>1272.307514055</v>
      </c>
      <c r="F33" s="5">
        <f t="shared" si="1"/>
        <v>1.272307514055</v>
      </c>
      <c r="G33" s="5">
        <f t="shared" si="2"/>
        <v>3.9298675396990994</v>
      </c>
      <c r="I33" s="5">
        <f t="shared" si="7"/>
        <v>7.8597350793981988</v>
      </c>
    </row>
    <row r="34" spans="1:20" x14ac:dyDescent="0.2">
      <c r="A34" t="s">
        <v>232</v>
      </c>
      <c r="B34" t="s">
        <v>235</v>
      </c>
      <c r="C34">
        <v>550.67304261799995</v>
      </c>
      <c r="D34" s="5">
        <v>4</v>
      </c>
      <c r="E34" s="5">
        <f t="shared" si="0"/>
        <v>1376.682606545</v>
      </c>
      <c r="F34" s="5">
        <f t="shared" si="1"/>
        <v>1.376682606545</v>
      </c>
      <c r="G34" s="5">
        <f t="shared" si="2"/>
        <v>3.6319192065252288</v>
      </c>
      <c r="I34" s="5">
        <f t="shared" si="7"/>
        <v>7.2638384130504576</v>
      </c>
    </row>
    <row r="35" spans="1:20" x14ac:dyDescent="0.2">
      <c r="A35" t="s">
        <v>232</v>
      </c>
      <c r="B35" t="s">
        <v>236</v>
      </c>
      <c r="C35">
        <v>647.72832342799995</v>
      </c>
      <c r="D35" s="5">
        <v>4</v>
      </c>
      <c r="E35" s="5">
        <f t="shared" si="0"/>
        <v>1619.3208085699998</v>
      </c>
      <c r="F35" s="5">
        <f t="shared" si="1"/>
        <v>1.6193208085699999</v>
      </c>
      <c r="G35" s="5">
        <f t="shared" si="2"/>
        <v>3.0877142895578742</v>
      </c>
      <c r="I35" s="5">
        <f t="shared" si="7"/>
        <v>6.1754285791157484</v>
      </c>
    </row>
    <row r="37" spans="1:20" x14ac:dyDescent="0.2">
      <c r="A37" s="6" t="s">
        <v>243</v>
      </c>
      <c r="B37" s="6" t="s">
        <v>243</v>
      </c>
      <c r="C37" s="6" t="s">
        <v>243</v>
      </c>
      <c r="D37" s="6" t="s">
        <v>250</v>
      </c>
      <c r="E37" s="6" t="s">
        <v>250</v>
      </c>
      <c r="F37" s="6" t="s">
        <v>250</v>
      </c>
      <c r="G37" s="6" t="s">
        <v>250</v>
      </c>
      <c r="H37" s="6" t="s">
        <v>250</v>
      </c>
      <c r="I37" s="6" t="s">
        <v>250</v>
      </c>
      <c r="J37" s="6" t="s">
        <v>250</v>
      </c>
      <c r="K37" s="6" t="s">
        <v>250</v>
      </c>
      <c r="L37" s="6" t="s">
        <v>250</v>
      </c>
      <c r="M37" s="6" t="s">
        <v>257</v>
      </c>
      <c r="N37" s="6" t="s">
        <v>257</v>
      </c>
      <c r="O37" s="6" t="s">
        <v>257</v>
      </c>
      <c r="P37" s="6" t="s">
        <v>243</v>
      </c>
      <c r="Q37" s="6" t="s">
        <v>243</v>
      </c>
      <c r="R37" s="6" t="s">
        <v>243</v>
      </c>
      <c r="S37" s="6" t="s">
        <v>256</v>
      </c>
      <c r="T37" s="6"/>
    </row>
    <row r="38" spans="1:20" x14ac:dyDescent="0.2">
      <c r="A38" s="6" t="s">
        <v>237</v>
      </c>
      <c r="B38" s="6" t="s">
        <v>237</v>
      </c>
      <c r="C38" s="6" t="s">
        <v>237</v>
      </c>
      <c r="D38" s="6" t="s">
        <v>238</v>
      </c>
      <c r="E38" s="6" t="s">
        <v>238</v>
      </c>
      <c r="F38" s="6" t="s">
        <v>238</v>
      </c>
      <c r="G38" s="6" t="s">
        <v>231</v>
      </c>
      <c r="H38" s="6" t="s">
        <v>231</v>
      </c>
      <c r="I38" s="6" t="s">
        <v>231</v>
      </c>
      <c r="J38" s="6" t="s">
        <v>232</v>
      </c>
      <c r="K38" s="6" t="s">
        <v>232</v>
      </c>
      <c r="L38" s="6" t="s">
        <v>232</v>
      </c>
      <c r="M38" s="6" t="s">
        <v>244</v>
      </c>
      <c r="N38" s="6" t="s">
        <v>244</v>
      </c>
      <c r="O38" s="6" t="s">
        <v>244</v>
      </c>
      <c r="P38" s="6" t="s">
        <v>245</v>
      </c>
      <c r="Q38" s="6" t="s">
        <v>245</v>
      </c>
      <c r="R38" s="6" t="s">
        <v>245</v>
      </c>
      <c r="S38" s="6"/>
      <c r="T38" s="6"/>
    </row>
    <row r="39" spans="1:20" x14ac:dyDescent="0.2">
      <c r="A39" s="6" t="s">
        <v>231</v>
      </c>
      <c r="B39" s="6" t="s">
        <v>232</v>
      </c>
      <c r="C39" s="6" t="s">
        <v>233</v>
      </c>
      <c r="D39" s="6" t="s">
        <v>231</v>
      </c>
      <c r="E39" s="6" t="s">
        <v>232</v>
      </c>
      <c r="F39" s="6" t="s">
        <v>233</v>
      </c>
      <c r="G39" s="6" t="s">
        <v>231</v>
      </c>
      <c r="H39" s="6" t="s">
        <v>232</v>
      </c>
      <c r="I39" s="6" t="s">
        <v>233</v>
      </c>
      <c r="J39" s="6" t="s">
        <v>231</v>
      </c>
      <c r="K39" s="6" t="s">
        <v>232</v>
      </c>
      <c r="L39" s="6" t="s">
        <v>233</v>
      </c>
      <c r="M39" s="6" t="s">
        <v>231</v>
      </c>
      <c r="N39" s="6" t="s">
        <v>232</v>
      </c>
      <c r="O39" s="6" t="s">
        <v>233</v>
      </c>
      <c r="P39" s="6" t="s">
        <v>231</v>
      </c>
      <c r="Q39" s="6" t="s">
        <v>232</v>
      </c>
      <c r="R39" s="6" t="s">
        <v>233</v>
      </c>
      <c r="S39" s="6" t="s">
        <v>248</v>
      </c>
      <c r="T39" s="6" t="s">
        <v>249</v>
      </c>
    </row>
    <row r="40" spans="1:20" s="5" customFormat="1" x14ac:dyDescent="0.2">
      <c r="A40" s="7">
        <v>5</v>
      </c>
      <c r="B40" s="7">
        <v>5</v>
      </c>
      <c r="C40" s="7">
        <v>5</v>
      </c>
      <c r="D40" s="7">
        <v>3.8073877923418515</v>
      </c>
      <c r="E40" s="7">
        <v>3.5645522890232431</v>
      </c>
      <c r="F40" s="7">
        <v>4.0699500858432422</v>
      </c>
      <c r="G40" s="7">
        <v>12.323914640107523</v>
      </c>
      <c r="H40" s="7">
        <v>8.0308571202157175</v>
      </c>
      <c r="I40" s="7">
        <v>8.4348738174457392</v>
      </c>
      <c r="J40" s="7">
        <v>9.5856642739029123</v>
      </c>
      <c r="K40" s="7">
        <v>6.7150561531118367</v>
      </c>
      <c r="L40" s="7">
        <v>6.6846330595106558</v>
      </c>
      <c r="M40" s="7">
        <v>10</v>
      </c>
      <c r="N40" s="7">
        <v>10</v>
      </c>
      <c r="O40" s="7">
        <v>10</v>
      </c>
      <c r="P40" s="7">
        <v>19.018637952531829</v>
      </c>
      <c r="Q40" s="7">
        <v>11.181549663466456</v>
      </c>
      <c r="R40" s="7">
        <v>20.402509881587623</v>
      </c>
      <c r="S40" s="7"/>
      <c r="T40" s="7"/>
    </row>
    <row r="41" spans="1:2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2">
      <c r="A42" s="6" t="s">
        <v>234</v>
      </c>
      <c r="B42" s="6" t="s">
        <v>235</v>
      </c>
      <c r="C42" s="6" t="s">
        <v>236</v>
      </c>
      <c r="D42" s="6" t="s">
        <v>234</v>
      </c>
      <c r="E42" s="6" t="s">
        <v>235</v>
      </c>
      <c r="F42" s="6" t="s">
        <v>236</v>
      </c>
      <c r="G42" s="6" t="s">
        <v>234</v>
      </c>
      <c r="H42" s="6" t="s">
        <v>235</v>
      </c>
      <c r="I42" s="6" t="s">
        <v>236</v>
      </c>
      <c r="J42" s="6" t="s">
        <v>234</v>
      </c>
      <c r="K42" s="6" t="s">
        <v>235</v>
      </c>
      <c r="L42" s="6" t="s">
        <v>236</v>
      </c>
      <c r="M42" s="6" t="s">
        <v>234</v>
      </c>
      <c r="N42" s="6" t="s">
        <v>235</v>
      </c>
      <c r="O42" s="6" t="s">
        <v>236</v>
      </c>
      <c r="P42" s="6" t="s">
        <v>234</v>
      </c>
      <c r="Q42" s="6" t="s">
        <v>235</v>
      </c>
      <c r="R42" s="6" t="s">
        <v>236</v>
      </c>
      <c r="S42" s="6" t="s">
        <v>246</v>
      </c>
      <c r="T42" s="6" t="s">
        <v>247</v>
      </c>
    </row>
    <row r="43" spans="1:20" s="5" customFormat="1" x14ac:dyDescent="0.2">
      <c r="A43" s="7">
        <v>5</v>
      </c>
      <c r="B43" s="7">
        <v>5</v>
      </c>
      <c r="C43" s="7">
        <v>5</v>
      </c>
      <c r="D43" s="7">
        <v>3.9971783560636802</v>
      </c>
      <c r="E43" s="7">
        <v>4.1806586393511509</v>
      </c>
      <c r="F43" s="7">
        <v>3.6365949805352802</v>
      </c>
      <c r="G43" s="7">
        <v>10.984381952639476</v>
      </c>
      <c r="H43" s="7">
        <v>9.7891784138760993</v>
      </c>
      <c r="I43" s="7">
        <v>7.7361040129782372</v>
      </c>
      <c r="J43" s="7">
        <v>7.8597350793981988</v>
      </c>
      <c r="K43" s="7">
        <v>7.2638384130504576</v>
      </c>
      <c r="L43" s="7">
        <v>6.1754285791157484</v>
      </c>
      <c r="M43" s="7">
        <v>10</v>
      </c>
      <c r="N43" s="7">
        <v>10</v>
      </c>
      <c r="O43" s="7">
        <v>10</v>
      </c>
      <c r="P43" s="7">
        <v>13.966299959686889</v>
      </c>
      <c r="Q43" s="7">
        <v>10.821918031937688</v>
      </c>
      <c r="R43" s="7">
        <v>8.7870681424408303</v>
      </c>
      <c r="S43" s="7"/>
      <c r="T43" s="7"/>
    </row>
  </sheetData>
  <pageMargins left="0.7" right="0.7" top="0.75" bottom="0.75" header="0.3" footer="0.3"/>
  <pageSetup scale="5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SA_BCA_02_18_21_Plate_1_ReRun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Aryal</dc:creator>
  <cp:lastModifiedBy>Sameer Aryal</cp:lastModifiedBy>
  <cp:lastPrinted>2021-02-26T16:35:54Z</cp:lastPrinted>
  <dcterms:created xsi:type="dcterms:W3CDTF">2021-02-18T17:59:42Z</dcterms:created>
  <dcterms:modified xsi:type="dcterms:W3CDTF">2021-03-02T16:24:28Z</dcterms:modified>
</cp:coreProperties>
</file>