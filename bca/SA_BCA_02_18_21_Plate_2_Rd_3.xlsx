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13_ncr:1_{B540F335-CFC7-0449-BACE-2D1C9D776FE7}" xr6:coauthVersionLast="36" xr6:coauthVersionMax="36" xr10:uidLastSave="{00000000-0000-0000-0000-000000000000}"/>
  <bookViews>
    <workbookView xWindow="15360" yWindow="4560" windowWidth="33040" windowHeight="15940" activeTab="1" xr2:uid="{00000000-000D-0000-FFFF-FFFF00000000}"/>
  </bookViews>
  <sheets>
    <sheet name="SA_BCA_02_18_21_Plate_2_Rd_3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I13" i="2"/>
  <c r="I14" i="2"/>
  <c r="I15" i="2"/>
  <c r="I16" i="2"/>
  <c r="I17" i="2"/>
  <c r="J12" i="2"/>
  <c r="I12" i="2"/>
  <c r="H13" i="2"/>
  <c r="H14" i="2"/>
  <c r="H15" i="2"/>
  <c r="H16" i="2"/>
  <c r="H17" i="2"/>
  <c r="H12" i="2"/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12" i="2"/>
  <c r="E13" i="2" l="1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/>
  <c r="E20" i="2"/>
  <c r="F20" i="2"/>
  <c r="E21" i="2"/>
  <c r="F21" i="2"/>
  <c r="E22" i="2"/>
  <c r="F22" i="2" s="1"/>
  <c r="E23" i="2"/>
  <c r="F23" i="2"/>
  <c r="E24" i="2"/>
  <c r="F24" i="2"/>
  <c r="E25" i="2"/>
  <c r="F25" i="2"/>
  <c r="E26" i="2"/>
  <c r="F26" i="2" s="1"/>
  <c r="E27" i="2"/>
  <c r="F27" i="2"/>
  <c r="E28" i="2"/>
  <c r="F28" i="2"/>
  <c r="E29" i="2"/>
  <c r="F29" i="2"/>
  <c r="E30" i="2"/>
  <c r="F30" i="2" s="1"/>
  <c r="E31" i="2"/>
  <c r="F31" i="2"/>
  <c r="E32" i="2"/>
  <c r="F32" i="2"/>
  <c r="E33" i="2"/>
  <c r="F33" i="2"/>
  <c r="E34" i="2"/>
  <c r="F34" i="2" s="1"/>
  <c r="E35" i="2"/>
  <c r="F35" i="2"/>
  <c r="F12" i="2"/>
  <c r="E12" i="2"/>
  <c r="P88" i="1"/>
  <c r="Q88" i="1"/>
  <c r="R88" i="1"/>
  <c r="S88" i="1"/>
  <c r="T88" i="1"/>
  <c r="U88" i="1"/>
  <c r="V88" i="1"/>
  <c r="W88" i="1"/>
  <c r="X88" i="1"/>
  <c r="Y88" i="1"/>
  <c r="P89" i="1"/>
  <c r="Q89" i="1"/>
  <c r="R89" i="1"/>
  <c r="S89" i="1"/>
  <c r="T89" i="1"/>
  <c r="U89" i="1"/>
  <c r="V89" i="1"/>
  <c r="W89" i="1"/>
  <c r="X89" i="1"/>
  <c r="Y89" i="1"/>
  <c r="P90" i="1"/>
  <c r="Q90" i="1"/>
  <c r="R90" i="1"/>
  <c r="S90" i="1"/>
  <c r="T90" i="1"/>
  <c r="U90" i="1"/>
  <c r="V90" i="1"/>
  <c r="W90" i="1"/>
  <c r="X90" i="1"/>
  <c r="Y90" i="1"/>
  <c r="P91" i="1"/>
  <c r="Q91" i="1"/>
  <c r="R91" i="1"/>
  <c r="S91" i="1"/>
  <c r="T91" i="1"/>
  <c r="U91" i="1"/>
  <c r="V91" i="1"/>
  <c r="W91" i="1"/>
  <c r="X91" i="1"/>
  <c r="Y91" i="1"/>
  <c r="P92" i="1"/>
  <c r="Q92" i="1"/>
  <c r="R92" i="1"/>
  <c r="S92" i="1"/>
  <c r="T92" i="1"/>
  <c r="U92" i="1"/>
  <c r="V92" i="1"/>
  <c r="W92" i="1"/>
  <c r="X92" i="1"/>
  <c r="Y92" i="1"/>
  <c r="P93" i="1"/>
  <c r="Q93" i="1"/>
  <c r="R93" i="1"/>
  <c r="S93" i="1"/>
  <c r="T93" i="1"/>
  <c r="U93" i="1"/>
  <c r="V93" i="1"/>
  <c r="W93" i="1"/>
  <c r="X93" i="1"/>
  <c r="Y93" i="1"/>
  <c r="P94" i="1"/>
  <c r="Q94" i="1"/>
  <c r="R94" i="1"/>
  <c r="S94" i="1"/>
  <c r="T94" i="1"/>
  <c r="U94" i="1"/>
  <c r="V94" i="1"/>
  <c r="W94" i="1"/>
  <c r="X94" i="1"/>
  <c r="Y94" i="1"/>
  <c r="P95" i="1"/>
  <c r="Q95" i="1"/>
  <c r="R95" i="1"/>
  <c r="S95" i="1"/>
  <c r="T95" i="1"/>
  <c r="U95" i="1"/>
  <c r="V95" i="1"/>
  <c r="W95" i="1"/>
  <c r="X95" i="1"/>
  <c r="Y95" i="1"/>
  <c r="P96" i="1"/>
  <c r="Q96" i="1"/>
  <c r="R96" i="1"/>
  <c r="S96" i="1"/>
  <c r="T96" i="1"/>
  <c r="U96" i="1"/>
  <c r="V96" i="1"/>
  <c r="W96" i="1"/>
  <c r="X96" i="1"/>
  <c r="Y96" i="1"/>
  <c r="O89" i="1"/>
  <c r="O90" i="1"/>
  <c r="O91" i="1"/>
  <c r="O92" i="1"/>
  <c r="O93" i="1"/>
  <c r="O94" i="1"/>
  <c r="O95" i="1"/>
  <c r="O96" i="1"/>
  <c r="O88" i="1"/>
  <c r="O55" i="1" l="1"/>
  <c r="N55" i="1"/>
  <c r="C3" i="1"/>
  <c r="C26" i="1"/>
  <c r="C44" i="1"/>
  <c r="C62" i="1"/>
  <c r="C80" i="1"/>
  <c r="E106" i="1"/>
</calcChain>
</file>

<file path=xl/sharedStrings.xml><?xml version="1.0" encoding="utf-8"?>
<sst xmlns="http://schemas.openxmlformats.org/spreadsheetml/2006/main" count="541" uniqueCount="248">
  <si>
    <t xml:space="preserve">Plate information </t>
  </si>
  <si>
    <t>Plate</t>
  </si>
  <si>
    <t>Repeat</t>
  </si>
  <si>
    <t>Barcode</t>
  </si>
  <si>
    <t>Formula</t>
  </si>
  <si>
    <t>Inside temperature at start</t>
  </si>
  <si>
    <t>Inside temperature at end</t>
  </si>
  <si>
    <t>Ambient temperature at start</t>
  </si>
  <si>
    <t>Ambient temperature at end</t>
  </si>
  <si>
    <t>Measurement date</t>
  </si>
  <si>
    <t>Calc 1: Blank correction (Blanks on each plate) = X - B where X = Meas B B = Average of Blanks</t>
  </si>
  <si>
    <t>N/A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</si>
  <si>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</si>
  <si>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</si>
  <si>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</si>
  <si>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</si>
  <si>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</si>
  <si>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</si>
  <si>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</si>
  <si>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Meas B</t>
  </si>
  <si>
    <t>De=1st Ex=Btm Em=N/A</t>
  </si>
  <si>
    <t>Calculated results: Calc 1: Blank correction (Blanks on each plate) = X - B where X = Meas B B = Average of Blanks</t>
  </si>
  <si>
    <t>A</t>
  </si>
  <si>
    <t>B</t>
  </si>
  <si>
    <t>C</t>
  </si>
  <si>
    <t>D</t>
  </si>
  <si>
    <t>E</t>
  </si>
  <si>
    <t>F</t>
  </si>
  <si>
    <t>G</t>
  </si>
  <si>
    <t>H</t>
  </si>
  <si>
    <t xml:space="preserve">Curve information - Curve quality data </t>
  </si>
  <si>
    <t>Slope at 50% binding</t>
  </si>
  <si>
    <t>Intercept</t>
  </si>
  <si>
    <t>ED-20</t>
  </si>
  <si>
    <t>ED-50</t>
  </si>
  <si>
    <t>ED-80</t>
  </si>
  <si>
    <t>Correlation coefficient (R)</t>
  </si>
  <si>
    <t>Forced through origo</t>
  </si>
  <si>
    <t>Fitting status</t>
  </si>
  <si>
    <t>Calc 2: Curve fitting (blank corrected) = Curve fitting UNK calculation (blank corrected) where Measurement: Calc1: Blank correction (Blanks on each plate)</t>
  </si>
  <si>
    <t>No</t>
  </si>
  <si>
    <t>OK</t>
  </si>
  <si>
    <t>Calculated results: Calc 2: Curve fitting (blank corrected) = Curve fitting UNK calculation (blank corrected) where Measurement: Calc1: Blank correction (Blanks on each plate)</t>
  </si>
  <si>
    <t>Calc 3: Average of sample type = Average of samples where Measurement: Calc2: Curve fitting (blank corrected)  Sample: All samples</t>
  </si>
  <si>
    <t>Calculated results: Calc 3: Average of sample type = Average of samples where Measurement: Calc2: Curve fitting (blank corrected)  Sample: All samples</t>
  </si>
  <si>
    <t>Calc 4: %CV of sample type = 100 * SD / AVG where SD = Standard deviation of samples AVG = Average of samples Measurement: Calc2: Curve fitting (blank corrected)  Sample: All samples</t>
  </si>
  <si>
    <t>Calculated results: Calc 4: %CV of sample type = 100 * SD / AVG where SD = Standard deviation of samples AVG = Average of samples Measurement: Calc2: Curve fitting (blank corrected)  Sample: All samples</t>
  </si>
  <si>
    <t>Meas</t>
  </si>
  <si>
    <t>ScanX</t>
  </si>
  <si>
    <t>ScanY</t>
  </si>
  <si>
    <t>Measinfo</t>
  </si>
  <si>
    <t>Kinetics</t>
  </si>
  <si>
    <t>Results for Meas B -  (A)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</si>
  <si>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</si>
  <si>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</si>
  <si>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</si>
  <si>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</si>
  <si>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</si>
  <si>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Assay Started By: </t>
  </si>
  <si>
    <t xml:space="preserve">Protocol ID: </t>
  </si>
  <si>
    <t xml:space="preserve">Protocol Name: </t>
  </si>
  <si>
    <t>Sameer Aryal BCA Gold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</si>
  <si>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</si>
  <si>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</si>
  <si>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</si>
  <si>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</si>
  <si>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</si>
  <si>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</si>
  <si>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</si>
  <si>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</si>
  <si>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Mode of measurement</t>
  </si>
  <si>
    <t>By Rows 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</si>
  <si>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</si>
  <si>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</si>
  <si>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</si>
  <si>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</si>
  <si>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</si>
  <si>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</si>
  <si>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96 General</t>
  </si>
  <si>
    <t>Number of rows</t>
  </si>
  <si>
    <t>Number of columns</t>
  </si>
  <si>
    <t>Number of the wells in the plate</t>
  </si>
  <si>
    <t>Height of the plate</t>
  </si>
  <si>
    <t>14.35 mm</t>
  </si>
  <si>
    <t>Diameter of the well</t>
  </si>
  <si>
    <t>6.5 mm</t>
  </si>
  <si>
    <t>Volume of the well</t>
  </si>
  <si>
    <t>300 µl</t>
  </si>
  <si>
    <t>Coordinates of corners:</t>
  </si>
  <si>
    <t>14.38 mm x------------------------------------------------------ x 113.38 mm</t>
  </si>
  <si>
    <t>11.24 mm                                                           11.24 mm</t>
  </si>
  <si>
    <t>74.24 mm                                                           74.24 mm</t>
  </si>
  <si>
    <t>Platemap:</t>
  </si>
  <si>
    <t xml:space="preserve">STD1 </t>
  </si>
  <si>
    <t xml:space="preserve">STD9 </t>
  </si>
  <si>
    <t xml:space="preserve">UNK7 </t>
  </si>
  <si>
    <t>UNK15</t>
  </si>
  <si>
    <t>UNK23</t>
  </si>
  <si>
    <t xml:space="preserve">     </t>
  </si>
  <si>
    <t xml:space="preserve">STD2 </t>
  </si>
  <si>
    <t xml:space="preserve">BL   </t>
  </si>
  <si>
    <t xml:space="preserve">UNK8 </t>
  </si>
  <si>
    <t>UNK16</t>
  </si>
  <si>
    <t>UNK24</t>
  </si>
  <si>
    <t xml:space="preserve">STD3 </t>
  </si>
  <si>
    <t xml:space="preserve">UNK1 </t>
  </si>
  <si>
    <t xml:space="preserve">UNK9 </t>
  </si>
  <si>
    <t>UNK17</t>
  </si>
  <si>
    <t xml:space="preserve">STD4 </t>
  </si>
  <si>
    <t xml:space="preserve">UNK2 </t>
  </si>
  <si>
    <t>UNK10</t>
  </si>
  <si>
    <t>UNK18</t>
  </si>
  <si>
    <t xml:space="preserve">STD5 </t>
  </si>
  <si>
    <t xml:space="preserve">UNK3 </t>
  </si>
  <si>
    <t>UNK11</t>
  </si>
  <si>
    <t>UNK19</t>
  </si>
  <si>
    <t xml:space="preserve">STD6 </t>
  </si>
  <si>
    <t xml:space="preserve">UNK4 </t>
  </si>
  <si>
    <t>UNK12</t>
  </si>
  <si>
    <t>UNK20</t>
  </si>
  <si>
    <t xml:space="preserve">STD7 </t>
  </si>
  <si>
    <t xml:space="preserve">UNK5 </t>
  </si>
  <si>
    <t>UNK13</t>
  </si>
  <si>
    <t>UNK21</t>
  </si>
  <si>
    <t xml:space="preserve">STD8 </t>
  </si>
  <si>
    <t xml:space="preserve">UNK6 </t>
  </si>
  <si>
    <t>UNK14</t>
  </si>
  <si>
    <t>UNK22</t>
  </si>
  <si>
    <t xml:space="preserve"> STD - Standard</t>
  </si>
  <si>
    <t xml:space="preserve"> UNK - Unknown</t>
  </si>
  <si>
    <t xml:space="preserve"> BL - Blank</t>
  </si>
  <si>
    <t>Calculations:</t>
  </si>
  <si>
    <t xml:space="preserve"> Formula index</t>
  </si>
  <si>
    <t>Calc 1</t>
  </si>
  <si>
    <t xml:space="preserve"> Formula name</t>
  </si>
  <si>
    <t>Blank correction (Blanks on each plate)</t>
  </si>
  <si>
    <t xml:space="preserve"> Formula</t>
  </si>
  <si>
    <t>Blank correction (Blanks on each plate) where X = B B = Average of Blanks</t>
  </si>
  <si>
    <t>Calc 2</t>
  </si>
  <si>
    <t>Curve fitting (blank corrected)</t>
  </si>
  <si>
    <t>Curve fitting (blank corrected) where Measurement: Calc 1: Blank correction (Blanks on each plate)</t>
  </si>
  <si>
    <t xml:space="preserve"> Fitting</t>
  </si>
  <si>
    <t>Linear regression</t>
  </si>
  <si>
    <t xml:space="preserve"> Method Options</t>
  </si>
  <si>
    <t>Unweighted</t>
  </si>
  <si>
    <t xml:space="preserve"> Curve direction</t>
  </si>
  <si>
    <t>Indefinite</t>
  </si>
  <si>
    <t xml:space="preserve"> Use Outliers</t>
  </si>
  <si>
    <t xml:space="preserve"> X-axis transformation</t>
  </si>
  <si>
    <t>None</t>
  </si>
  <si>
    <t xml:space="preserve"> Y-axis transformation</t>
  </si>
  <si>
    <t xml:space="preserve"> STD1</t>
  </si>
  <si>
    <t xml:space="preserve"> STD2</t>
  </si>
  <si>
    <t xml:space="preserve"> STD3</t>
  </si>
  <si>
    <t xml:space="preserve"> STD4</t>
  </si>
  <si>
    <t xml:space="preserve"> STD5</t>
  </si>
  <si>
    <t xml:space="preserve"> STD6</t>
  </si>
  <si>
    <t xml:space="preserve"> STD7</t>
  </si>
  <si>
    <t xml:space="preserve"> STD8</t>
  </si>
  <si>
    <t xml:space="preserve"> STD9</t>
  </si>
  <si>
    <t xml:space="preserve"> Formula unit</t>
  </si>
  <si>
    <t>Calc 3</t>
  </si>
  <si>
    <t>Average of sample type</t>
  </si>
  <si>
    <t>Average of samples where Measurement: Calc 2: Curve fitting (blank corrected)  Sample: All samples</t>
  </si>
  <si>
    <t>Calc 4</t>
  </si>
  <si>
    <t>%CV of sample type</t>
  </si>
  <si>
    <t>100 * SD / AVG where SD = Standard deviation of samples AVG = Average of samples Measurement: Calc 2: Curve fitting (blank corrected)  Sample: All samples</t>
  </si>
  <si>
    <t>Auto export parameters:</t>
  </si>
  <si>
    <t>Export format</t>
  </si>
  <si>
    <t>Plate5</t>
  </si>
  <si>
    <t>Picture</t>
  </si>
  <si>
    <t>Add plate number to the file name</t>
  </si>
  <si>
    <t>Yes</t>
  </si>
  <si>
    <t>Each plate to separate file</t>
  </si>
  <si>
    <t>Field separator to use</t>
  </si>
  <si>
    <t>System</t>
  </si>
  <si>
    <t>File name format</t>
  </si>
  <si>
    <t>Z:\SameerAryal\SA_BCA_02_18_21_Plate_2_Rd_3.csv</t>
  </si>
  <si>
    <t>Exported data</t>
  </si>
  <si>
    <t>MeasB:Result Calc1:Blank correction (Blanks on each plate) Calc2:Curve fitting (blank corrected) Calc3:Average of sample type Calc4:%CV of sample type</t>
  </si>
  <si>
    <t>Operations:</t>
  </si>
  <si>
    <t>Plate 1</t>
  </si>
  <si>
    <t xml:space="preserve">  Shake</t>
  </si>
  <si>
    <t xml:space="preserve">    Duration</t>
  </si>
  <si>
    <t>30 s</t>
  </si>
  <si>
    <t xml:space="preserve">    Speed</t>
  </si>
  <si>
    <t xml:space="preserve">    Diameter</t>
  </si>
  <si>
    <t>3 mm</t>
  </si>
  <si>
    <t xml:space="preserve">    Shake mode</t>
  </si>
  <si>
    <t>Linear</t>
  </si>
  <si>
    <t xml:space="preserve">    Plate location</t>
  </si>
  <si>
    <t>Inside</t>
  </si>
  <si>
    <t xml:space="preserve">    First assay/plate repeat affected</t>
  </si>
  <si>
    <t xml:space="preserve">    Last assay/plate repeat affected</t>
  </si>
  <si>
    <t xml:space="preserve">  Measurement</t>
  </si>
  <si>
    <t xml:space="preserve">    Meas</t>
  </si>
  <si>
    <t xml:space="preserve">    Tech</t>
  </si>
  <si>
    <t>Absorbance</t>
  </si>
  <si>
    <t>Measurements:</t>
  </si>
  <si>
    <t xml:space="preserve">Meas </t>
  </si>
  <si>
    <t>Exc. filter</t>
  </si>
  <si>
    <t>Excitation wavelength</t>
  </si>
  <si>
    <t>480 nm</t>
  </si>
  <si>
    <t>Measurement height</t>
  </si>
  <si>
    <t>7.5 mm</t>
  </si>
  <si>
    <t>Number of flashes</t>
  </si>
  <si>
    <t>Number of flashes integrated</t>
  </si>
  <si>
    <t>Flash power</t>
  </si>
  <si>
    <t>Excitation light</t>
  </si>
  <si>
    <t>Reference excitation light</t>
  </si>
  <si>
    <t>Reference AD gain</t>
  </si>
  <si>
    <t>Reference signal</t>
  </si>
  <si>
    <t>Last edited</t>
  </si>
  <si>
    <t>Last edited by</t>
  </si>
  <si>
    <t>EnSpire</t>
  </si>
  <si>
    <t>Factory preset</t>
  </si>
  <si>
    <t>Filters:</t>
  </si>
  <si>
    <t>Monochromator cutoff 230</t>
  </si>
  <si>
    <t>Filter polarization</t>
  </si>
  <si>
    <t>Description</t>
  </si>
  <si>
    <t>X230co Longpass=230nm  Tmin=90%</t>
  </si>
  <si>
    <t>Used with</t>
  </si>
  <si>
    <t>Installation</t>
  </si>
  <si>
    <t>Monochromator cutoff 360</t>
  </si>
  <si>
    <t>X360co Longpass=360nm  Tmin=90%</t>
  </si>
  <si>
    <t>Monochromator cutoff 585</t>
  </si>
  <si>
    <t>X585co Longpass=585nm  Tmin=75%</t>
  </si>
  <si>
    <t>Instrument:</t>
  </si>
  <si>
    <t>Serial number</t>
  </si>
  <si>
    <t>Nickname</t>
  </si>
  <si>
    <t>Exported with EnSpire Workstation version 4.13.3005.1482</t>
  </si>
  <si>
    <t>S1</t>
  </si>
  <si>
    <t>S2</t>
  </si>
  <si>
    <t>S3</t>
  </si>
  <si>
    <t>S4</t>
  </si>
  <si>
    <t>S5</t>
  </si>
  <si>
    <t>S6</t>
  </si>
  <si>
    <t>P2</t>
  </si>
  <si>
    <t>Syn</t>
  </si>
  <si>
    <t>Pre</t>
  </si>
  <si>
    <t>PSD</t>
  </si>
  <si>
    <t>Volume lysate</t>
  </si>
  <si>
    <t>Accouting for dilution</t>
  </si>
  <si>
    <t>In ug ul</t>
  </si>
  <si>
    <t>To load 2 ug</t>
  </si>
  <si>
    <t>50 ul of 2ug/5ul lysate</t>
  </si>
  <si>
    <t>Volume of 6x sample buffer</t>
  </si>
  <si>
    <t>Volume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</si>
</sst>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47" fontId="0" fillId="0" borderId="0" xfId="0" applyNumberForma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9486111111111112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SA_BCA_02_18_21_Plate_2_Rd_3!$B$88:$B$95</c:f>
              <c:numCache>
                <c:formatCode>General</c:formatCode>
                <c:ptCount val="8"/>
                <c:pt idx="0">
                  <c:v>2.754</c:v>
                </c:pt>
                <c:pt idx="1">
                  <c:v>2.3410000000000002</c:v>
                </c:pt>
                <c:pt idx="2">
                  <c:v>1.833</c:v>
                </c:pt>
                <c:pt idx="3">
                  <c:v>1.5069999999999999</c:v>
                </c:pt>
                <c:pt idx="4">
                  <c:v>1.266</c:v>
                </c:pt>
                <c:pt idx="5">
                  <c:v>0.95899999999999996</c:v>
                </c:pt>
                <c:pt idx="6">
                  <c:v>0.82099999999999995</c:v>
                </c:pt>
                <c:pt idx="7">
                  <c:v>0.70499999999999996</c:v>
                </c:pt>
              </c:numCache>
            </c:numRef>
          </c:xVal>
          <c:yVal>
            <c:numRef>
              <c:f>SA_BCA_02_18_21_Plate_2_Rd_3!$I$98:$I$105</c:f>
              <c:numCache>
                <c:formatCode>General</c:formatCode>
                <c:ptCount val="8"/>
                <c:pt idx="0">
                  <c:v>2000</c:v>
                </c:pt>
                <c:pt idx="1">
                  <c:v>1500</c:v>
                </c:pt>
                <c:pt idx="2">
                  <c:v>1000</c:v>
                </c:pt>
                <c:pt idx="3">
                  <c:v>750</c:v>
                </c:pt>
                <c:pt idx="4">
                  <c:v>500</c:v>
                </c:pt>
                <c:pt idx="5">
                  <c:v>250</c:v>
                </c:pt>
                <c:pt idx="6">
                  <c:v>50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9-D842-9F86-56E70A1D6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78816"/>
        <c:axId val="278080496"/>
      </c:scatterChart>
      <c:valAx>
        <c:axId val="2780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80496"/>
        <c:crosses val="autoZero"/>
        <c:crossBetween val="midCat"/>
      </c:valAx>
      <c:valAx>
        <c:axId val="2780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692150</xdr:colOff>
      <xdr:row>99</xdr:row>
      <xdr:rowOff>69850</xdr:rowOff>
    </xdr:from>
    <xdr:to>
      <xdr:col>17</xdr:col>
      <xdr:colOff>311150</xdr:colOff>
      <xdr:row>112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F3D3E-9122-F04B-86EC-6A628505B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3"/>
  <sheetViews>
    <sheetView topLeftCell="B51" workbookViewId="0">
      <selection activeCell="X34" sqref="X34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3" x14ac:dyDescent="0.2">
      <c r="A3">
        <v>1</v>
      </c>
      <c r="B3">
        <v>1</v>
      </c>
      <c r="C3" t="str">
        <f>""</f>
        <v/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I3" s="1">
        <v>44245.523321759261</v>
      </c>
    </row>
    <row r="5" spans="1:13" x14ac:dyDescent="0.2">
      <c r="A5" t="s">
        <v>12</v>
      </c>
    </row>
    <row r="6" spans="1:13" x14ac:dyDescent="0.2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3" x14ac:dyDescent="0.2">
      <c r="A7">
        <v>1</v>
      </c>
      <c r="B7" t="s">
        <v>19</v>
      </c>
      <c r="C7">
        <v>0</v>
      </c>
      <c r="D7">
        <v>308941</v>
      </c>
      <c r="E7">
        <v>9</v>
      </c>
      <c r="F7" s="2">
        <v>0</v>
      </c>
      <c r="G7" t="s">
        <v>20</v>
      </c>
    </row>
    <row r="9" spans="1:13" x14ac:dyDescent="0.2">
      <c r="A9" t="s">
        <v>21</v>
      </c>
    </row>
    <row r="10" spans="1:13" x14ac:dyDescent="0.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22</v>
      </c>
      <c r="B11">
        <v>2.0699999999999998</v>
      </c>
      <c r="C11">
        <v>2.06</v>
      </c>
      <c r="D11">
        <v>1E-3</v>
      </c>
      <c r="E11">
        <v>-7.0000000000000001E-3</v>
      </c>
      <c r="F11">
        <v>4.1000000000000002E-2</v>
      </c>
      <c r="G11">
        <v>0.04</v>
      </c>
      <c r="H11">
        <v>2.5999999999999999E-2</v>
      </c>
      <c r="I11">
        <v>1.2E-2</v>
      </c>
      <c r="J11">
        <v>8.4000000000000005E-2</v>
      </c>
      <c r="K11">
        <v>9.0999999999999998E-2</v>
      </c>
    </row>
    <row r="12" spans="1:13" x14ac:dyDescent="0.2">
      <c r="A12" t="s">
        <v>23</v>
      </c>
      <c r="B12">
        <v>1.657</v>
      </c>
      <c r="C12">
        <v>1.5669999999999999</v>
      </c>
      <c r="D12">
        <v>4.0000000000000001E-3</v>
      </c>
      <c r="E12">
        <v>-4.0000000000000001E-3</v>
      </c>
      <c r="F12">
        <v>5.3999999999999999E-2</v>
      </c>
      <c r="G12">
        <v>5.5E-2</v>
      </c>
      <c r="H12">
        <v>7.0000000000000001E-3</v>
      </c>
      <c r="I12">
        <v>8.9999999999999993E-3</v>
      </c>
      <c r="J12">
        <v>9.1999999999999998E-2</v>
      </c>
      <c r="K12">
        <v>0.11899999999999999</v>
      </c>
    </row>
    <row r="13" spans="1:13" x14ac:dyDescent="0.2">
      <c r="A13" t="s">
        <v>24</v>
      </c>
      <c r="B13">
        <v>1.149</v>
      </c>
      <c r="C13">
        <v>1.038</v>
      </c>
      <c r="D13">
        <v>0.28199999999999997</v>
      </c>
      <c r="E13">
        <v>0.36399999999999999</v>
      </c>
      <c r="F13">
        <v>3.2000000000000001E-2</v>
      </c>
      <c r="G13">
        <v>3.4000000000000002E-2</v>
      </c>
      <c r="H13">
        <v>1.2999999999999999E-2</v>
      </c>
      <c r="I13">
        <v>2.5000000000000001E-2</v>
      </c>
    </row>
    <row r="14" spans="1:13" x14ac:dyDescent="0.2">
      <c r="A14" t="s">
        <v>25</v>
      </c>
      <c r="B14">
        <v>0.82299999999999995</v>
      </c>
      <c r="C14">
        <v>0.81799999999999995</v>
      </c>
      <c r="D14">
        <v>0.5</v>
      </c>
      <c r="E14">
        <v>0.45800000000000002</v>
      </c>
      <c r="F14">
        <v>2.4E-2</v>
      </c>
      <c r="G14">
        <v>2.5000000000000001E-2</v>
      </c>
      <c r="H14">
        <v>2.5999999999999999E-2</v>
      </c>
      <c r="I14">
        <v>4.2999999999999997E-2</v>
      </c>
    </row>
    <row r="15" spans="1:13" x14ac:dyDescent="0.2">
      <c r="A15" t="s">
        <v>26</v>
      </c>
      <c r="B15">
        <v>0.58199999999999996</v>
      </c>
      <c r="C15">
        <v>0.54600000000000004</v>
      </c>
      <c r="D15">
        <v>0.38300000000000001</v>
      </c>
      <c r="E15">
        <v>0.33800000000000002</v>
      </c>
      <c r="F15">
        <v>3.3000000000000002E-2</v>
      </c>
      <c r="G15">
        <v>3.6999999999999998E-2</v>
      </c>
      <c r="H15">
        <v>5.1999999999999998E-2</v>
      </c>
      <c r="I15">
        <v>5.6000000000000001E-2</v>
      </c>
    </row>
    <row r="16" spans="1:13" x14ac:dyDescent="0.2">
      <c r="A16" t="s">
        <v>27</v>
      </c>
      <c r="B16">
        <v>0.27500000000000002</v>
      </c>
      <c r="C16">
        <v>0.246</v>
      </c>
      <c r="D16">
        <v>0.36099999999999999</v>
      </c>
      <c r="E16">
        <v>0.34</v>
      </c>
      <c r="F16">
        <v>8.3000000000000004E-2</v>
      </c>
      <c r="G16">
        <v>6.5000000000000002E-2</v>
      </c>
      <c r="H16">
        <v>7.0999999999999994E-2</v>
      </c>
      <c r="I16">
        <v>9.9000000000000005E-2</v>
      </c>
    </row>
    <row r="17" spans="1:13" x14ac:dyDescent="0.2">
      <c r="A17" t="s">
        <v>28</v>
      </c>
      <c r="B17">
        <v>0.13700000000000001</v>
      </c>
      <c r="C17">
        <v>0.12</v>
      </c>
      <c r="D17">
        <v>0.316</v>
      </c>
      <c r="E17">
        <v>0.314</v>
      </c>
      <c r="F17">
        <v>-5.0000000000000001E-3</v>
      </c>
      <c r="G17">
        <v>1.4E-2</v>
      </c>
      <c r="H17">
        <v>4.4999999999999998E-2</v>
      </c>
      <c r="I17">
        <v>5.7000000000000002E-2</v>
      </c>
    </row>
    <row r="18" spans="1:13" x14ac:dyDescent="0.2">
      <c r="A18" t="s">
        <v>29</v>
      </c>
      <c r="B18">
        <v>2.1000000000000001E-2</v>
      </c>
      <c r="C18">
        <v>6.0000000000000001E-3</v>
      </c>
      <c r="D18">
        <v>0.48499999999999999</v>
      </c>
      <c r="E18">
        <v>0.51200000000000001</v>
      </c>
      <c r="F18">
        <v>3.7999999999999999E-2</v>
      </c>
      <c r="G18">
        <v>4.9000000000000002E-2</v>
      </c>
      <c r="H18">
        <v>6.2E-2</v>
      </c>
      <c r="I18">
        <v>7.8E-2</v>
      </c>
    </row>
    <row r="20" spans="1:13" x14ac:dyDescent="0.2">
      <c r="A20" t="s">
        <v>30</v>
      </c>
    </row>
    <row r="21" spans="1:13" x14ac:dyDescent="0.2">
      <c r="A21" t="s">
        <v>4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</row>
    <row r="22" spans="1:13" x14ac:dyDescent="0.2">
      <c r="A22" t="s">
        <v>39</v>
      </c>
      <c r="B22">
        <v>1.05147361E-3</v>
      </c>
      <c r="C22">
        <v>9.7708134999999995E-3</v>
      </c>
      <c r="D22">
        <v>383.48959412800002</v>
      </c>
      <c r="E22">
        <v>972.66272820400002</v>
      </c>
      <c r="F22">
        <v>1561.8358622799999</v>
      </c>
      <c r="G22">
        <v>0.99928597209000003</v>
      </c>
      <c r="H22" t="s">
        <v>40</v>
      </c>
      <c r="I22" t="s">
        <v>41</v>
      </c>
    </row>
    <row r="24" spans="1:13" x14ac:dyDescent="0.2">
      <c r="A24" t="s">
        <v>0</v>
      </c>
    </row>
    <row r="25" spans="1:13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</row>
    <row r="26" spans="1:13" x14ac:dyDescent="0.2">
      <c r="A26">
        <v>1</v>
      </c>
      <c r="B26">
        <v>1</v>
      </c>
      <c r="C26" t="str">
        <f>""</f>
        <v/>
      </c>
      <c r="D26" t="s">
        <v>39</v>
      </c>
      <c r="E26" t="s">
        <v>11</v>
      </c>
      <c r="F26" t="s">
        <v>11</v>
      </c>
      <c r="G26" t="s">
        <v>11</v>
      </c>
      <c r="H26" t="s">
        <v>11</v>
      </c>
      <c r="I26" s="1">
        <v>44245.523321759261</v>
      </c>
    </row>
    <row r="28" spans="1:13" x14ac:dyDescent="0.2">
      <c r="A28" t="s">
        <v>12</v>
      </c>
    </row>
    <row r="29" spans="1:13" x14ac:dyDescent="0.2">
      <c r="A29" t="s">
        <v>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</row>
    <row r="31" spans="1:13" x14ac:dyDescent="0.2">
      <c r="A31" t="s">
        <v>42</v>
      </c>
    </row>
    <row r="32" spans="1:13" x14ac:dyDescent="0.2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25" x14ac:dyDescent="0.2">
      <c r="A33" t="s">
        <v>22</v>
      </c>
      <c r="B33">
        <v>1959.3731827700001</v>
      </c>
      <c r="C33">
        <v>1949.8627205600001</v>
      </c>
      <c r="D33">
        <v>-8.3414490351000001</v>
      </c>
      <c r="E33">
        <v>-15.949818805</v>
      </c>
      <c r="F33">
        <v>29.700399815699999</v>
      </c>
      <c r="G33">
        <v>28.749353594399999</v>
      </c>
      <c r="H33">
        <v>15.4347064967</v>
      </c>
      <c r="I33">
        <v>2.1200593988900001</v>
      </c>
      <c r="J33">
        <v>70.595387330199998</v>
      </c>
      <c r="K33">
        <v>77.252710879099993</v>
      </c>
      <c r="O33">
        <v>1940.02736</v>
      </c>
      <c r="P33">
        <v>1930.4089600000002</v>
      </c>
      <c r="Q33">
        <v>-50.019599999999969</v>
      </c>
      <c r="R33">
        <v>-57.71431999999993</v>
      </c>
      <c r="S33">
        <v>-11.546000000000049</v>
      </c>
      <c r="T33">
        <v>-12.507839999999987</v>
      </c>
      <c r="U33">
        <v>-25.973600000000033</v>
      </c>
      <c r="V33">
        <v>-39.439359999999965</v>
      </c>
      <c r="W33">
        <v>29.813120000000026</v>
      </c>
      <c r="X33">
        <v>36.546000000000049</v>
      </c>
      <c r="Y33">
        <v>-708.88</v>
      </c>
    </row>
    <row r="34" spans="1:25" x14ac:dyDescent="0.2">
      <c r="A34" t="s">
        <v>23</v>
      </c>
      <c r="B34">
        <v>1566.59109339</v>
      </c>
      <c r="C34">
        <v>1480.9969334699999</v>
      </c>
      <c r="D34">
        <v>-5.4883103712999999</v>
      </c>
      <c r="E34">
        <v>-13.096680141</v>
      </c>
      <c r="F34">
        <v>42.064000692199997</v>
      </c>
      <c r="G34">
        <v>43.015046913500001</v>
      </c>
      <c r="H34">
        <v>-2.6351717075000001</v>
      </c>
      <c r="I34">
        <v>-0.73307926489999997</v>
      </c>
      <c r="J34">
        <v>78.203757100399997</v>
      </c>
      <c r="K34">
        <v>103.882005075</v>
      </c>
      <c r="O34">
        <v>1542.7874400000001</v>
      </c>
      <c r="P34">
        <v>1456.2218399999997</v>
      </c>
      <c r="Q34">
        <v>-47.13408000000004</v>
      </c>
      <c r="R34">
        <v>-54.828799999999887</v>
      </c>
      <c r="S34">
        <v>0.95792000000005828</v>
      </c>
      <c r="T34">
        <v>1.9197599999999966</v>
      </c>
      <c r="U34">
        <v>-44.248559999999998</v>
      </c>
      <c r="V34">
        <v>-42.324880000000007</v>
      </c>
      <c r="W34">
        <v>37.507840000000101</v>
      </c>
      <c r="X34">
        <v>63.477520000000027</v>
      </c>
      <c r="Y34">
        <v>-708.88</v>
      </c>
    </row>
    <row r="35" spans="1:25" x14ac:dyDescent="0.2">
      <c r="A35" t="s">
        <v>24</v>
      </c>
      <c r="B35">
        <v>1083.45961298</v>
      </c>
      <c r="C35">
        <v>977.89348242100004</v>
      </c>
      <c r="D35">
        <v>258.90253914099998</v>
      </c>
      <c r="E35">
        <v>336.88832928599999</v>
      </c>
      <c r="F35">
        <v>21.140983824300001</v>
      </c>
      <c r="G35">
        <v>23.0430762668</v>
      </c>
      <c r="H35">
        <v>3.07110562016</v>
      </c>
      <c r="I35">
        <v>14.4836602754</v>
      </c>
      <c r="O35">
        <v>1054.17272</v>
      </c>
      <c r="P35">
        <v>947.40847999999994</v>
      </c>
      <c r="Q35">
        <v>220.25743999999997</v>
      </c>
      <c r="R35">
        <v>299.12832000000003</v>
      </c>
      <c r="S35">
        <v>-20.202559999999949</v>
      </c>
      <c r="T35">
        <v>-18.278879999999958</v>
      </c>
      <c r="U35">
        <v>-38.477520000000027</v>
      </c>
      <c r="V35">
        <v>-26.935439999999971</v>
      </c>
      <c r="W35">
        <v>-708.88</v>
      </c>
      <c r="X35">
        <v>-708.88</v>
      </c>
      <c r="Y35">
        <v>-708.88</v>
      </c>
    </row>
    <row r="36" spans="1:25" x14ac:dyDescent="0.2">
      <c r="A36" t="s">
        <v>25</v>
      </c>
      <c r="B36">
        <v>773.41854484800001</v>
      </c>
      <c r="C36">
        <v>768.66331374200001</v>
      </c>
      <c r="D36">
        <v>466.23061537799998</v>
      </c>
      <c r="E36">
        <v>426.28667408500002</v>
      </c>
      <c r="F36">
        <v>13.5326140541</v>
      </c>
      <c r="G36">
        <v>14.4836602754</v>
      </c>
      <c r="H36">
        <v>15.4347064967</v>
      </c>
      <c r="I36">
        <v>31.602492258200002</v>
      </c>
      <c r="O36">
        <v>740.61288000000002</v>
      </c>
      <c r="P36">
        <v>735.8036800000001</v>
      </c>
      <c r="Q36">
        <v>429.93855999999994</v>
      </c>
      <c r="R36">
        <v>389.54128000000003</v>
      </c>
      <c r="S36">
        <v>-27.897280000000023</v>
      </c>
      <c r="T36">
        <v>-26.935439999999971</v>
      </c>
      <c r="U36">
        <v>-25.973600000000033</v>
      </c>
      <c r="V36">
        <v>-9.6223199999999451</v>
      </c>
      <c r="W36">
        <v>-708.88</v>
      </c>
      <c r="X36">
        <v>-708.88</v>
      </c>
      <c r="Y36">
        <v>-708.88</v>
      </c>
    </row>
    <row r="37" spans="1:25" x14ac:dyDescent="0.2">
      <c r="A37" t="s">
        <v>26</v>
      </c>
      <c r="B37">
        <v>544.21640552199995</v>
      </c>
      <c r="C37">
        <v>509.97874155599999</v>
      </c>
      <c r="D37">
        <v>354.95820749000001</v>
      </c>
      <c r="E37">
        <v>312.16112753300001</v>
      </c>
      <c r="F37">
        <v>22.0920300455</v>
      </c>
      <c r="G37">
        <v>25.896214930599999</v>
      </c>
      <c r="H37">
        <v>40.161908249600003</v>
      </c>
      <c r="I37">
        <v>43.966093134700003</v>
      </c>
      <c r="O37">
        <v>508.80944000000011</v>
      </c>
      <c r="P37">
        <v>474.18320000000006</v>
      </c>
      <c r="Q37">
        <v>317.40327999999988</v>
      </c>
      <c r="R37">
        <v>274.12048000000004</v>
      </c>
      <c r="S37">
        <v>-19.24072000000001</v>
      </c>
      <c r="T37">
        <v>-15.39336000000003</v>
      </c>
      <c r="U37">
        <v>-0.96575999999993201</v>
      </c>
      <c r="V37">
        <v>2.8816000000000486</v>
      </c>
      <c r="W37">
        <v>-708.88</v>
      </c>
      <c r="X37">
        <v>-708.88</v>
      </c>
      <c r="Y37">
        <v>-708.88</v>
      </c>
    </row>
    <row r="38" spans="1:25" x14ac:dyDescent="0.2">
      <c r="A38" t="s">
        <v>27</v>
      </c>
      <c r="B38">
        <v>252.24521559300001</v>
      </c>
      <c r="C38">
        <v>224.66487517600001</v>
      </c>
      <c r="D38">
        <v>334.03519062200002</v>
      </c>
      <c r="E38">
        <v>314.06321997499998</v>
      </c>
      <c r="F38">
        <v>69.644341108999996</v>
      </c>
      <c r="G38">
        <v>52.525509126099998</v>
      </c>
      <c r="H38">
        <v>58.231786453799998</v>
      </c>
      <c r="I38">
        <v>84.861080649300007</v>
      </c>
      <c r="O38">
        <v>213.52455999999995</v>
      </c>
      <c r="P38">
        <v>185.63120000000004</v>
      </c>
      <c r="Q38">
        <v>296.24279999999999</v>
      </c>
      <c r="R38">
        <v>276.04416000000003</v>
      </c>
      <c r="S38">
        <v>28.851280000000088</v>
      </c>
      <c r="T38">
        <v>11.538160000000062</v>
      </c>
      <c r="U38">
        <v>17.309200000000033</v>
      </c>
      <c r="V38">
        <v>44.24072000000001</v>
      </c>
      <c r="W38">
        <v>-708.88</v>
      </c>
      <c r="X38">
        <v>-708.88</v>
      </c>
      <c r="Y38">
        <v>-708.88</v>
      </c>
    </row>
    <row r="39" spans="1:25" x14ac:dyDescent="0.2">
      <c r="A39" t="s">
        <v>28</v>
      </c>
      <c r="B39">
        <v>121.000837058</v>
      </c>
      <c r="C39">
        <v>104.83305129599999</v>
      </c>
      <c r="D39">
        <v>291.23811066500002</v>
      </c>
      <c r="E39">
        <v>289.33601822200001</v>
      </c>
      <c r="F39">
        <v>-14.047726363000001</v>
      </c>
      <c r="G39">
        <v>4.0221518414300004</v>
      </c>
      <c r="H39">
        <v>33.504584700800002</v>
      </c>
      <c r="I39">
        <v>44.917139356</v>
      </c>
      <c r="O39">
        <v>80.790639999999939</v>
      </c>
      <c r="P39">
        <v>64.439360000000079</v>
      </c>
      <c r="Q39">
        <v>252.96000000000004</v>
      </c>
      <c r="R39">
        <v>251.03632000000005</v>
      </c>
      <c r="S39">
        <v>-55.790639999999939</v>
      </c>
      <c r="T39">
        <v>-37.515679999999975</v>
      </c>
      <c r="U39">
        <v>-7.6986399999999549</v>
      </c>
      <c r="V39">
        <v>3.8434399999999869</v>
      </c>
      <c r="W39">
        <v>-708.88</v>
      </c>
      <c r="X39">
        <v>-708.88</v>
      </c>
      <c r="Y39">
        <v>-708.88</v>
      </c>
    </row>
    <row r="40" spans="1:25" x14ac:dyDescent="0.2">
      <c r="A40" t="s">
        <v>29</v>
      </c>
      <c r="B40">
        <v>10.6794753903</v>
      </c>
      <c r="C40">
        <v>-3.5862179287</v>
      </c>
      <c r="D40">
        <v>451.964922059</v>
      </c>
      <c r="E40">
        <v>477.64317003299999</v>
      </c>
      <c r="F40">
        <v>26.8472611519</v>
      </c>
      <c r="G40">
        <v>37.3087695858</v>
      </c>
      <c r="H40">
        <v>49.672370462300002</v>
      </c>
      <c r="I40">
        <v>64.889110002600006</v>
      </c>
      <c r="O40">
        <v>-30.782800000000066</v>
      </c>
      <c r="P40">
        <v>-45.21040000000005</v>
      </c>
      <c r="Q40">
        <v>415.51096000000018</v>
      </c>
      <c r="R40">
        <v>441.48064000000011</v>
      </c>
      <c r="S40">
        <v>-14.431519999999978</v>
      </c>
      <c r="T40">
        <v>-3.8512799999999743</v>
      </c>
      <c r="U40">
        <v>8.6526400000000194</v>
      </c>
      <c r="V40">
        <v>24.042080000000055</v>
      </c>
      <c r="W40">
        <v>-708.88</v>
      </c>
      <c r="X40">
        <v>-708.88</v>
      </c>
      <c r="Y40">
        <v>-708.88</v>
      </c>
    </row>
    <row r="41" spans="1:25" x14ac:dyDescent="0.2">
      <c r="O41">
        <v>-708.88</v>
      </c>
      <c r="P41">
        <v>-708.88</v>
      </c>
      <c r="Q41">
        <v>-708.88</v>
      </c>
      <c r="R41">
        <v>-708.88</v>
      </c>
      <c r="S41">
        <v>-708.88</v>
      </c>
      <c r="T41">
        <v>-708.88</v>
      </c>
      <c r="U41">
        <v>-708.88</v>
      </c>
      <c r="V41">
        <v>-708.88</v>
      </c>
      <c r="W41">
        <v>-708.88</v>
      </c>
      <c r="X41">
        <v>-708.88</v>
      </c>
      <c r="Y41">
        <v>-708.88</v>
      </c>
    </row>
    <row r="42" spans="1:25" x14ac:dyDescent="0.2">
      <c r="A42" t="s">
        <v>0</v>
      </c>
    </row>
    <row r="43" spans="1:25" x14ac:dyDescent="0.2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</row>
    <row r="44" spans="1:25" x14ac:dyDescent="0.2">
      <c r="A44">
        <v>1</v>
      </c>
      <c r="B44">
        <v>1</v>
      </c>
      <c r="C44" t="str">
        <f>""</f>
        <v/>
      </c>
      <c r="D44" t="s">
        <v>43</v>
      </c>
      <c r="E44" t="s">
        <v>11</v>
      </c>
      <c r="F44" t="s">
        <v>11</v>
      </c>
      <c r="G44" t="s">
        <v>11</v>
      </c>
      <c r="H44" t="s">
        <v>11</v>
      </c>
      <c r="I44" s="1">
        <v>44245.523321759261</v>
      </c>
    </row>
    <row r="46" spans="1:25" x14ac:dyDescent="0.2">
      <c r="A46" t="s">
        <v>12</v>
      </c>
    </row>
    <row r="47" spans="1:25" x14ac:dyDescent="0.2">
      <c r="A47" t="s">
        <v>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</row>
    <row r="49" spans="1:15" x14ac:dyDescent="0.2">
      <c r="A49" t="s">
        <v>44</v>
      </c>
    </row>
    <row r="50" spans="1:15" x14ac:dyDescent="0.2"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</row>
    <row r="51" spans="1:15" x14ac:dyDescent="0.2">
      <c r="A51" t="s">
        <v>22</v>
      </c>
      <c r="B51">
        <v>1954.61795166</v>
      </c>
      <c r="C51">
        <v>1954.61795166</v>
      </c>
      <c r="D51">
        <v>-12.14563392</v>
      </c>
      <c r="E51">
        <v>-12.14563392</v>
      </c>
      <c r="F51">
        <v>29.224876705100002</v>
      </c>
      <c r="G51">
        <v>29.224876705100002</v>
      </c>
      <c r="H51">
        <v>8.7773829477700005</v>
      </c>
      <c r="I51">
        <v>8.7773829477700005</v>
      </c>
      <c r="J51">
        <v>73.924049104700003</v>
      </c>
      <c r="K51">
        <v>73.924049104700003</v>
      </c>
    </row>
    <row r="52" spans="1:15" x14ac:dyDescent="0.2">
      <c r="A52" t="s">
        <v>23</v>
      </c>
      <c r="B52">
        <v>1523.7940134299999</v>
      </c>
      <c r="C52">
        <v>1523.7940134299999</v>
      </c>
      <c r="D52">
        <v>-9.2924952563000005</v>
      </c>
      <c r="E52">
        <v>-9.2924952563000005</v>
      </c>
      <c r="F52">
        <v>42.539523802799998</v>
      </c>
      <c r="G52">
        <v>42.539523802799998</v>
      </c>
      <c r="H52">
        <v>-1.6841254861999999</v>
      </c>
      <c r="I52">
        <v>-1.6841254861999999</v>
      </c>
      <c r="J52">
        <v>91.042881087500007</v>
      </c>
      <c r="K52">
        <v>91.042881087500007</v>
      </c>
    </row>
    <row r="53" spans="1:15" x14ac:dyDescent="0.2">
      <c r="A53" t="s">
        <v>24</v>
      </c>
      <c r="B53">
        <v>1030.6765476999999</v>
      </c>
      <c r="C53">
        <v>1030.6765476999999</v>
      </c>
      <c r="D53">
        <v>297.89543421399998</v>
      </c>
      <c r="E53">
        <v>297.89543421399998</v>
      </c>
      <c r="F53">
        <v>22.0920300455</v>
      </c>
      <c r="G53">
        <v>22.0920300455</v>
      </c>
      <c r="H53">
        <v>8.7773829477700005</v>
      </c>
      <c r="I53">
        <v>8.7773829477700005</v>
      </c>
    </row>
    <row r="54" spans="1:15" x14ac:dyDescent="0.2">
      <c r="A54" t="s">
        <v>25</v>
      </c>
      <c r="B54">
        <v>771.04092929499996</v>
      </c>
      <c r="C54">
        <v>771.04092929499996</v>
      </c>
      <c r="D54">
        <v>446.258644731</v>
      </c>
      <c r="E54">
        <v>446.258644731</v>
      </c>
      <c r="F54">
        <v>14.008137164700001</v>
      </c>
      <c r="G54">
        <v>14.008137164700001</v>
      </c>
      <c r="H54">
        <v>23.518599377400001</v>
      </c>
      <c r="I54">
        <v>23.518599377400001</v>
      </c>
    </row>
    <row r="55" spans="1:15" x14ac:dyDescent="0.2">
      <c r="A55" t="s">
        <v>26</v>
      </c>
      <c r="B55">
        <v>527.097573539</v>
      </c>
      <c r="C55">
        <v>527.097573539</v>
      </c>
      <c r="D55">
        <v>333.55966751099999</v>
      </c>
      <c r="E55">
        <v>333.55966751099999</v>
      </c>
      <c r="F55">
        <v>23.9941224881</v>
      </c>
      <c r="G55">
        <v>23.9941224881</v>
      </c>
      <c r="H55">
        <v>42.064000692199997</v>
      </c>
      <c r="I55">
        <v>42.064000692199997</v>
      </c>
      <c r="N55">
        <f>(H55*(10/4))/1000</f>
        <v>0.1051600017305</v>
      </c>
      <c r="O55">
        <f>5/N55</f>
        <v>47.546594881329568</v>
      </c>
    </row>
    <row r="56" spans="1:15" x14ac:dyDescent="0.2">
      <c r="A56" t="s">
        <v>27</v>
      </c>
      <c r="B56">
        <v>238.45504538399999</v>
      </c>
      <c r="C56">
        <v>238.45504538399999</v>
      </c>
      <c r="D56">
        <v>324.049205298</v>
      </c>
      <c r="E56">
        <v>324.049205298</v>
      </c>
      <c r="F56">
        <v>61.084925117600001</v>
      </c>
      <c r="G56">
        <v>61.084925117600001</v>
      </c>
      <c r="H56">
        <v>71.546433551500002</v>
      </c>
      <c r="I56">
        <v>71.546433551500002</v>
      </c>
    </row>
    <row r="57" spans="1:15" x14ac:dyDescent="0.2">
      <c r="A57" t="s">
        <v>28</v>
      </c>
      <c r="B57">
        <v>112.916944177</v>
      </c>
      <c r="C57">
        <v>112.916944177</v>
      </c>
      <c r="D57">
        <v>290.28706444300002</v>
      </c>
      <c r="E57">
        <v>290.28706444300002</v>
      </c>
      <c r="F57">
        <v>-5.0127872605999997</v>
      </c>
      <c r="G57">
        <v>-5.0127872605999997</v>
      </c>
      <c r="H57">
        <v>39.210862028400001</v>
      </c>
      <c r="I57">
        <v>39.210862028400001</v>
      </c>
    </row>
    <row r="58" spans="1:15" x14ac:dyDescent="0.2">
      <c r="A58" t="s">
        <v>29</v>
      </c>
      <c r="B58">
        <v>3.5466287307900002</v>
      </c>
      <c r="C58">
        <v>3.5466287307900002</v>
      </c>
      <c r="D58">
        <v>464.804046046</v>
      </c>
      <c r="E58">
        <v>464.804046046</v>
      </c>
      <c r="F58">
        <v>32.078015368899997</v>
      </c>
      <c r="G58">
        <v>32.078015368899997</v>
      </c>
      <c r="H58">
        <v>57.280740232500001</v>
      </c>
      <c r="I58">
        <v>57.280740232500001</v>
      </c>
    </row>
    <row r="60" spans="1:15" x14ac:dyDescent="0.2">
      <c r="A60" t="s">
        <v>0</v>
      </c>
    </row>
    <row r="61" spans="1:15" x14ac:dyDescent="0.2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</row>
    <row r="62" spans="1:15" x14ac:dyDescent="0.2">
      <c r="A62">
        <v>1</v>
      </c>
      <c r="B62">
        <v>1</v>
      </c>
      <c r="C62" t="str">
        <f>""</f>
        <v/>
      </c>
      <c r="D62" t="s">
        <v>45</v>
      </c>
      <c r="E62" t="s">
        <v>11</v>
      </c>
      <c r="F62" t="s">
        <v>11</v>
      </c>
      <c r="G62" t="s">
        <v>11</v>
      </c>
      <c r="H62" t="s">
        <v>11</v>
      </c>
      <c r="I62" s="1">
        <v>44245.523321759261</v>
      </c>
    </row>
    <row r="64" spans="1:15" x14ac:dyDescent="0.2">
      <c r="A64" t="s">
        <v>12</v>
      </c>
    </row>
    <row r="65" spans="1:13" x14ac:dyDescent="0.2">
      <c r="A65" t="s">
        <v>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7" spans="1:13" x14ac:dyDescent="0.2">
      <c r="A67" t="s">
        <v>46</v>
      </c>
    </row>
    <row r="68" spans="1:13" x14ac:dyDescent="0.2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</row>
    <row r="69" spans="1:13" x14ac:dyDescent="0.2">
      <c r="A69" t="s">
        <v>22</v>
      </c>
      <c r="B69">
        <v>0.34405252018999999</v>
      </c>
      <c r="C69">
        <v>0.34405252018999999</v>
      </c>
      <c r="D69">
        <v>-44.295175481000001</v>
      </c>
      <c r="E69">
        <v>-44.295175481000001</v>
      </c>
      <c r="F69">
        <v>2.3010917687300001</v>
      </c>
      <c r="G69">
        <v>2.3010917687300001</v>
      </c>
      <c r="H69">
        <v>107.262920029</v>
      </c>
      <c r="I69">
        <v>107.262920029</v>
      </c>
      <c r="J69">
        <v>6.3679393688300001</v>
      </c>
      <c r="K69">
        <v>6.3679393688300001</v>
      </c>
    </row>
    <row r="70" spans="1:13" x14ac:dyDescent="0.2">
      <c r="A70" t="s">
        <v>23</v>
      </c>
      <c r="B70">
        <v>3.9719417698099999</v>
      </c>
      <c r="C70">
        <v>3.9719417698099999</v>
      </c>
      <c r="D70">
        <v>-57.895427544999997</v>
      </c>
      <c r="E70">
        <v>-57.895427544999997</v>
      </c>
      <c r="F70">
        <v>1.5808621539800001</v>
      </c>
      <c r="G70">
        <v>1.5808621539800001</v>
      </c>
      <c r="H70">
        <v>-79.862366289999997</v>
      </c>
      <c r="I70">
        <v>-79.862366289999997</v>
      </c>
      <c r="J70">
        <v>19.943638706000002</v>
      </c>
      <c r="K70">
        <v>19.943638706000002</v>
      </c>
    </row>
    <row r="71" spans="1:13" x14ac:dyDescent="0.2">
      <c r="A71" t="s">
        <v>24</v>
      </c>
      <c r="B71">
        <v>7.2424784428900004</v>
      </c>
      <c r="C71">
        <v>7.2424784428900004</v>
      </c>
      <c r="D71">
        <v>18.511287758600002</v>
      </c>
      <c r="E71">
        <v>18.511287758600002</v>
      </c>
      <c r="F71">
        <v>6.0880890610299998</v>
      </c>
      <c r="G71">
        <v>6.0880890610299998</v>
      </c>
      <c r="H71">
        <v>91.939645739400007</v>
      </c>
      <c r="I71">
        <v>91.939645739400007</v>
      </c>
    </row>
    <row r="72" spans="1:13" x14ac:dyDescent="0.2">
      <c r="A72" t="s">
        <v>25</v>
      </c>
      <c r="B72">
        <v>0.43609308321000001</v>
      </c>
      <c r="C72">
        <v>0.43609308321000001</v>
      </c>
      <c r="D72">
        <v>6.3292066359400003</v>
      </c>
      <c r="E72">
        <v>6.3292066359400003</v>
      </c>
      <c r="F72">
        <v>4.8007184993400003</v>
      </c>
      <c r="G72">
        <v>4.8007184993400003</v>
      </c>
      <c r="H72">
        <v>48.609829034900002</v>
      </c>
      <c r="I72">
        <v>48.609829034900002</v>
      </c>
    </row>
    <row r="73" spans="1:13" x14ac:dyDescent="0.2">
      <c r="A73" t="s">
        <v>26</v>
      </c>
      <c r="B73">
        <v>4.5930176076400002</v>
      </c>
      <c r="C73">
        <v>4.5930176076400002</v>
      </c>
      <c r="D73">
        <v>9.0724714047300008</v>
      </c>
      <c r="E73">
        <v>9.0724714047300008</v>
      </c>
      <c r="F73">
        <v>11.210932721000001</v>
      </c>
      <c r="G73">
        <v>11.210932721000001</v>
      </c>
      <c r="H73">
        <v>6.3949336365100002</v>
      </c>
      <c r="I73">
        <v>6.3949336365100002</v>
      </c>
    </row>
    <row r="74" spans="1:13" x14ac:dyDescent="0.2">
      <c r="A74" t="s">
        <v>27</v>
      </c>
      <c r="B74">
        <v>8.1785838100999992</v>
      </c>
      <c r="C74">
        <v>8.1785838100999992</v>
      </c>
      <c r="D74">
        <v>4.35807761506</v>
      </c>
      <c r="E74">
        <v>4.35807761506</v>
      </c>
      <c r="F74">
        <v>19.8164148647</v>
      </c>
      <c r="G74">
        <v>19.8164148647</v>
      </c>
      <c r="H74">
        <v>26.318229391999999</v>
      </c>
      <c r="I74">
        <v>26.318229391999999</v>
      </c>
    </row>
    <row r="75" spans="1:13" x14ac:dyDescent="0.2">
      <c r="A75" t="s">
        <v>28</v>
      </c>
      <c r="B75">
        <v>10.1245663635</v>
      </c>
      <c r="C75">
        <v>10.1245663635</v>
      </c>
      <c r="D75">
        <v>0.46332841842</v>
      </c>
      <c r="E75">
        <v>0.46332841842</v>
      </c>
      <c r="F75">
        <v>-254.89478704999999</v>
      </c>
      <c r="G75">
        <v>-254.89478704999999</v>
      </c>
      <c r="H75">
        <v>20.580763517899999</v>
      </c>
      <c r="I75">
        <v>20.580763517899999</v>
      </c>
    </row>
    <row r="76" spans="1:13" x14ac:dyDescent="0.2">
      <c r="A76" t="s">
        <v>29</v>
      </c>
      <c r="B76">
        <v>284.42132655799998</v>
      </c>
      <c r="C76">
        <v>284.42132655799998</v>
      </c>
      <c r="D76">
        <v>3.9064339964400001</v>
      </c>
      <c r="E76">
        <v>3.9064339964400001</v>
      </c>
      <c r="F76">
        <v>23.060664664000001</v>
      </c>
      <c r="G76">
        <v>23.060664664000001</v>
      </c>
      <c r="H76">
        <v>18.7844285406</v>
      </c>
      <c r="I76">
        <v>18.7844285406</v>
      </c>
    </row>
    <row r="78" spans="1:13" x14ac:dyDescent="0.2">
      <c r="A78" t="s">
        <v>0</v>
      </c>
    </row>
    <row r="79" spans="1:13" x14ac:dyDescent="0.2">
      <c r="A79" t="s">
        <v>1</v>
      </c>
      <c r="B79" t="s">
        <v>2</v>
      </c>
      <c r="C79" t="s">
        <v>3</v>
      </c>
      <c r="D79" t="s">
        <v>5</v>
      </c>
      <c r="E79" t="s">
        <v>6</v>
      </c>
      <c r="F79" t="s">
        <v>7</v>
      </c>
      <c r="G79" t="s">
        <v>8</v>
      </c>
      <c r="H79" t="s">
        <v>47</v>
      </c>
      <c r="I79" t="s">
        <v>48</v>
      </c>
      <c r="J79" t="s">
        <v>49</v>
      </c>
      <c r="K79" t="s">
        <v>50</v>
      </c>
      <c r="L79" t="s">
        <v>51</v>
      </c>
      <c r="M79" t="s">
        <v>9</v>
      </c>
    </row>
    <row r="80" spans="1:13" x14ac:dyDescent="0.2">
      <c r="A80">
        <v>1</v>
      </c>
      <c r="B80">
        <v>1</v>
      </c>
      <c r="C80" t="str">
        <f>""</f>
        <v/>
      </c>
      <c r="D80">
        <v>26.95</v>
      </c>
      <c r="E80">
        <v>26.95</v>
      </c>
      <c r="F80">
        <v>24.9</v>
      </c>
      <c r="G80">
        <v>24.9</v>
      </c>
      <c r="H80" t="s">
        <v>19</v>
      </c>
      <c r="I80">
        <v>0</v>
      </c>
      <c r="J80">
        <v>0</v>
      </c>
      <c r="K80" t="s">
        <v>20</v>
      </c>
      <c r="L80">
        <v>1</v>
      </c>
      <c r="M80" s="1">
        <v>44245.523321759261</v>
      </c>
    </row>
    <row r="82" spans="1:25" x14ac:dyDescent="0.2">
      <c r="A82" t="s">
        <v>12</v>
      </c>
    </row>
    <row r="83" spans="1:25" x14ac:dyDescent="0.2">
      <c r="A83" t="s">
        <v>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</row>
    <row r="84" spans="1:25" x14ac:dyDescent="0.2">
      <c r="A84">
        <v>1</v>
      </c>
      <c r="B84" t="s">
        <v>19</v>
      </c>
      <c r="C84">
        <v>0</v>
      </c>
      <c r="D84">
        <v>308941</v>
      </c>
      <c r="E84">
        <v>9</v>
      </c>
      <c r="F84" s="2">
        <v>0</v>
      </c>
      <c r="G84" t="s">
        <v>20</v>
      </c>
    </row>
    <row r="86" spans="1:25" x14ac:dyDescent="0.2">
      <c r="A86" t="s">
        <v>52</v>
      </c>
    </row>
    <row r="87" spans="1:25" x14ac:dyDescent="0.2"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 spans="1:25" x14ac:dyDescent="0.2">
      <c r="A88" t="s">
        <v>22</v>
      </c>
      <c r="B88">
        <v>2.754</v>
      </c>
      <c r="C88">
        <v>2.7440000000000002</v>
      </c>
      <c r="D88">
        <v>0.68500000000000005</v>
      </c>
      <c r="E88">
        <v>0.67700000000000005</v>
      </c>
      <c r="F88">
        <v>0.72499999999999998</v>
      </c>
      <c r="G88">
        <v>0.72399999999999998</v>
      </c>
      <c r="H88">
        <v>0.71</v>
      </c>
      <c r="I88">
        <v>0.69599999999999995</v>
      </c>
      <c r="J88">
        <v>0.76800000000000002</v>
      </c>
      <c r="K88">
        <v>0.77500000000000002</v>
      </c>
      <c r="O88">
        <f>961.84*B88-708.88</f>
        <v>1940.02736</v>
      </c>
      <c r="P88">
        <f t="shared" ref="P88:Y96" si="0">961.84*C88-708.88</f>
        <v>1930.4089600000002</v>
      </c>
      <c r="Q88">
        <f t="shared" si="0"/>
        <v>-50.019599999999969</v>
      </c>
      <c r="R88">
        <f t="shared" si="0"/>
        <v>-57.71431999999993</v>
      </c>
      <c r="S88">
        <f t="shared" si="0"/>
        <v>-11.546000000000049</v>
      </c>
      <c r="T88">
        <f t="shared" si="0"/>
        <v>-12.507839999999987</v>
      </c>
      <c r="U88">
        <f t="shared" si="0"/>
        <v>-25.973600000000033</v>
      </c>
      <c r="V88">
        <f t="shared" si="0"/>
        <v>-39.439359999999965</v>
      </c>
      <c r="W88">
        <f t="shared" si="0"/>
        <v>29.813120000000026</v>
      </c>
      <c r="X88">
        <f t="shared" si="0"/>
        <v>36.546000000000049</v>
      </c>
      <c r="Y88">
        <f t="shared" si="0"/>
        <v>-708.88</v>
      </c>
    </row>
    <row r="89" spans="1:25" x14ac:dyDescent="0.2">
      <c r="A89" t="s">
        <v>23</v>
      </c>
      <c r="B89">
        <v>2.3410000000000002</v>
      </c>
      <c r="C89">
        <v>2.2509999999999999</v>
      </c>
      <c r="D89">
        <v>0.68799999999999994</v>
      </c>
      <c r="E89">
        <v>0.68</v>
      </c>
      <c r="F89">
        <v>0.73799999999999999</v>
      </c>
      <c r="G89">
        <v>0.73899999999999999</v>
      </c>
      <c r="H89">
        <v>0.69099999999999995</v>
      </c>
      <c r="I89">
        <v>0.69299999999999995</v>
      </c>
      <c r="J89">
        <v>0.77600000000000002</v>
      </c>
      <c r="K89">
        <v>0.80300000000000005</v>
      </c>
      <c r="O89">
        <f t="shared" ref="O89:O96" si="1">961.84*B89-708.88</f>
        <v>1542.7874400000001</v>
      </c>
      <c r="P89">
        <f t="shared" si="0"/>
        <v>1456.2218399999997</v>
      </c>
      <c r="Q89">
        <f t="shared" si="0"/>
        <v>-47.13408000000004</v>
      </c>
      <c r="R89">
        <f t="shared" si="0"/>
        <v>-54.828799999999887</v>
      </c>
      <c r="S89">
        <f t="shared" si="0"/>
        <v>0.95792000000005828</v>
      </c>
      <c r="T89">
        <f t="shared" si="0"/>
        <v>1.9197599999999966</v>
      </c>
      <c r="U89">
        <f t="shared" si="0"/>
        <v>-44.248559999999998</v>
      </c>
      <c r="V89">
        <f t="shared" si="0"/>
        <v>-42.324880000000007</v>
      </c>
      <c r="W89">
        <f t="shared" si="0"/>
        <v>37.507840000000101</v>
      </c>
      <c r="X89">
        <f t="shared" si="0"/>
        <v>63.477520000000027</v>
      </c>
      <c r="Y89">
        <f t="shared" si="0"/>
        <v>-708.88</v>
      </c>
    </row>
    <row r="90" spans="1:25" x14ac:dyDescent="0.2">
      <c r="A90" t="s">
        <v>24</v>
      </c>
      <c r="B90">
        <v>1.833</v>
      </c>
      <c r="C90">
        <v>1.722</v>
      </c>
      <c r="D90">
        <v>0.96599999999999997</v>
      </c>
      <c r="E90">
        <v>1.048</v>
      </c>
      <c r="F90">
        <v>0.71599999999999997</v>
      </c>
      <c r="G90">
        <v>0.71799999999999997</v>
      </c>
      <c r="H90">
        <v>0.69699999999999995</v>
      </c>
      <c r="I90">
        <v>0.70899999999999996</v>
      </c>
      <c r="O90">
        <f t="shared" si="1"/>
        <v>1054.17272</v>
      </c>
      <c r="P90">
        <f t="shared" si="0"/>
        <v>947.40847999999994</v>
      </c>
      <c r="Q90">
        <f t="shared" si="0"/>
        <v>220.25743999999997</v>
      </c>
      <c r="R90">
        <f t="shared" si="0"/>
        <v>299.12832000000003</v>
      </c>
      <c r="S90">
        <f t="shared" si="0"/>
        <v>-20.202559999999949</v>
      </c>
      <c r="T90">
        <f t="shared" si="0"/>
        <v>-18.278879999999958</v>
      </c>
      <c r="U90">
        <f t="shared" si="0"/>
        <v>-38.477520000000027</v>
      </c>
      <c r="V90">
        <f t="shared" si="0"/>
        <v>-26.935439999999971</v>
      </c>
      <c r="W90">
        <f t="shared" si="0"/>
        <v>-708.88</v>
      </c>
      <c r="X90">
        <f t="shared" si="0"/>
        <v>-708.88</v>
      </c>
      <c r="Y90">
        <f t="shared" si="0"/>
        <v>-708.88</v>
      </c>
    </row>
    <row r="91" spans="1:25" x14ac:dyDescent="0.2">
      <c r="A91" t="s">
        <v>25</v>
      </c>
      <c r="B91">
        <v>1.5069999999999999</v>
      </c>
      <c r="C91">
        <v>1.502</v>
      </c>
      <c r="D91">
        <v>1.1839999999999999</v>
      </c>
      <c r="E91">
        <v>1.1419999999999999</v>
      </c>
      <c r="F91">
        <v>0.70799999999999996</v>
      </c>
      <c r="G91">
        <v>0.70899999999999996</v>
      </c>
      <c r="H91">
        <v>0.71</v>
      </c>
      <c r="I91">
        <v>0.72699999999999998</v>
      </c>
      <c r="O91">
        <f t="shared" si="1"/>
        <v>740.61288000000002</v>
      </c>
      <c r="P91">
        <f t="shared" si="0"/>
        <v>735.8036800000001</v>
      </c>
      <c r="Q91">
        <f t="shared" si="0"/>
        <v>429.93855999999994</v>
      </c>
      <c r="R91">
        <f t="shared" si="0"/>
        <v>389.54128000000003</v>
      </c>
      <c r="S91">
        <f t="shared" si="0"/>
        <v>-27.897280000000023</v>
      </c>
      <c r="T91">
        <f t="shared" si="0"/>
        <v>-26.935439999999971</v>
      </c>
      <c r="U91">
        <f t="shared" si="0"/>
        <v>-25.973600000000033</v>
      </c>
      <c r="V91">
        <f t="shared" si="0"/>
        <v>-9.6223199999999451</v>
      </c>
      <c r="W91">
        <f t="shared" si="0"/>
        <v>-708.88</v>
      </c>
      <c r="X91">
        <f t="shared" si="0"/>
        <v>-708.88</v>
      </c>
      <c r="Y91">
        <f t="shared" si="0"/>
        <v>-708.88</v>
      </c>
    </row>
    <row r="92" spans="1:25" x14ac:dyDescent="0.2">
      <c r="A92" t="s">
        <v>26</v>
      </c>
      <c r="B92">
        <v>1.266</v>
      </c>
      <c r="C92">
        <v>1.23</v>
      </c>
      <c r="D92">
        <v>1.0669999999999999</v>
      </c>
      <c r="E92">
        <v>1.022</v>
      </c>
      <c r="F92">
        <v>0.71699999999999997</v>
      </c>
      <c r="G92">
        <v>0.72099999999999997</v>
      </c>
      <c r="H92">
        <v>0.73599999999999999</v>
      </c>
      <c r="I92">
        <v>0.74</v>
      </c>
      <c r="O92">
        <f t="shared" si="1"/>
        <v>508.80944000000011</v>
      </c>
      <c r="P92">
        <f t="shared" si="0"/>
        <v>474.18320000000006</v>
      </c>
      <c r="Q92">
        <f t="shared" si="0"/>
        <v>317.40327999999988</v>
      </c>
      <c r="R92">
        <f t="shared" si="0"/>
        <v>274.12048000000004</v>
      </c>
      <c r="S92">
        <f t="shared" si="0"/>
        <v>-19.24072000000001</v>
      </c>
      <c r="T92">
        <f t="shared" si="0"/>
        <v>-15.39336000000003</v>
      </c>
      <c r="U92">
        <f t="shared" si="0"/>
        <v>-0.96575999999993201</v>
      </c>
      <c r="V92">
        <f t="shared" si="0"/>
        <v>2.8816000000000486</v>
      </c>
      <c r="W92">
        <f t="shared" si="0"/>
        <v>-708.88</v>
      </c>
      <c r="X92">
        <f t="shared" si="0"/>
        <v>-708.88</v>
      </c>
      <c r="Y92">
        <f t="shared" si="0"/>
        <v>-708.88</v>
      </c>
    </row>
    <row r="93" spans="1:25" x14ac:dyDescent="0.2">
      <c r="A93" t="s">
        <v>27</v>
      </c>
      <c r="B93">
        <v>0.95899999999999996</v>
      </c>
      <c r="C93">
        <v>0.93</v>
      </c>
      <c r="D93">
        <v>1.0449999999999999</v>
      </c>
      <c r="E93">
        <v>1.024</v>
      </c>
      <c r="F93">
        <v>0.76700000000000002</v>
      </c>
      <c r="G93">
        <v>0.749</v>
      </c>
      <c r="H93">
        <v>0.755</v>
      </c>
      <c r="I93">
        <v>0.78300000000000003</v>
      </c>
      <c r="O93">
        <f t="shared" si="1"/>
        <v>213.52455999999995</v>
      </c>
      <c r="P93">
        <f t="shared" si="0"/>
        <v>185.63120000000004</v>
      </c>
      <c r="Q93">
        <f t="shared" si="0"/>
        <v>296.24279999999999</v>
      </c>
      <c r="R93">
        <f t="shared" si="0"/>
        <v>276.04416000000003</v>
      </c>
      <c r="S93">
        <f t="shared" si="0"/>
        <v>28.851280000000088</v>
      </c>
      <c r="T93">
        <f t="shared" si="0"/>
        <v>11.538160000000062</v>
      </c>
      <c r="U93">
        <f t="shared" si="0"/>
        <v>17.309200000000033</v>
      </c>
      <c r="V93">
        <f t="shared" si="0"/>
        <v>44.24072000000001</v>
      </c>
      <c r="W93">
        <f t="shared" si="0"/>
        <v>-708.88</v>
      </c>
      <c r="X93">
        <f t="shared" si="0"/>
        <v>-708.88</v>
      </c>
      <c r="Y93">
        <f t="shared" si="0"/>
        <v>-708.88</v>
      </c>
    </row>
    <row r="94" spans="1:25" x14ac:dyDescent="0.2">
      <c r="A94" t="s">
        <v>28</v>
      </c>
      <c r="B94">
        <v>0.82099999999999995</v>
      </c>
      <c r="C94">
        <v>0.80400000000000005</v>
      </c>
      <c r="D94">
        <v>1</v>
      </c>
      <c r="E94">
        <v>0.998</v>
      </c>
      <c r="F94">
        <v>0.67900000000000005</v>
      </c>
      <c r="G94">
        <v>0.69799999999999995</v>
      </c>
      <c r="H94">
        <v>0.72899999999999998</v>
      </c>
      <c r="I94">
        <v>0.74099999999999999</v>
      </c>
      <c r="O94">
        <f t="shared" si="1"/>
        <v>80.790639999999939</v>
      </c>
      <c r="P94">
        <f t="shared" si="0"/>
        <v>64.439360000000079</v>
      </c>
      <c r="Q94">
        <f t="shared" si="0"/>
        <v>252.96000000000004</v>
      </c>
      <c r="R94">
        <f t="shared" si="0"/>
        <v>251.03632000000005</v>
      </c>
      <c r="S94">
        <f t="shared" si="0"/>
        <v>-55.790639999999939</v>
      </c>
      <c r="T94">
        <f t="shared" si="0"/>
        <v>-37.515679999999975</v>
      </c>
      <c r="U94">
        <f t="shared" si="0"/>
        <v>-7.6986399999999549</v>
      </c>
      <c r="V94">
        <f t="shared" si="0"/>
        <v>3.8434399999999869</v>
      </c>
      <c r="W94">
        <f t="shared" si="0"/>
        <v>-708.88</v>
      </c>
      <c r="X94">
        <f t="shared" si="0"/>
        <v>-708.88</v>
      </c>
      <c r="Y94">
        <f t="shared" si="0"/>
        <v>-708.88</v>
      </c>
    </row>
    <row r="95" spans="1:25" x14ac:dyDescent="0.2">
      <c r="A95" t="s">
        <v>29</v>
      </c>
      <c r="B95">
        <v>0.70499999999999996</v>
      </c>
      <c r="C95">
        <v>0.69</v>
      </c>
      <c r="D95">
        <v>1.169</v>
      </c>
      <c r="E95">
        <v>1.196</v>
      </c>
      <c r="F95">
        <v>0.72199999999999998</v>
      </c>
      <c r="G95">
        <v>0.73299999999999998</v>
      </c>
      <c r="H95">
        <v>0.746</v>
      </c>
      <c r="I95">
        <v>0.76200000000000001</v>
      </c>
      <c r="O95">
        <f t="shared" si="1"/>
        <v>-30.782800000000066</v>
      </c>
      <c r="P95">
        <f t="shared" si="0"/>
        <v>-45.21040000000005</v>
      </c>
      <c r="Q95">
        <f t="shared" si="0"/>
        <v>415.51096000000018</v>
      </c>
      <c r="R95">
        <f t="shared" si="0"/>
        <v>441.48064000000011</v>
      </c>
      <c r="S95">
        <f t="shared" si="0"/>
        <v>-14.431519999999978</v>
      </c>
      <c r="T95">
        <f t="shared" si="0"/>
        <v>-3.8512799999999743</v>
      </c>
      <c r="U95">
        <f t="shared" si="0"/>
        <v>8.6526400000000194</v>
      </c>
      <c r="V95">
        <f t="shared" si="0"/>
        <v>24.042080000000055</v>
      </c>
      <c r="W95">
        <f t="shared" si="0"/>
        <v>-708.88</v>
      </c>
      <c r="X95">
        <f t="shared" si="0"/>
        <v>-708.88</v>
      </c>
      <c r="Y95">
        <f t="shared" si="0"/>
        <v>-708.88</v>
      </c>
    </row>
    <row r="96" spans="1:25" x14ac:dyDescent="0.2">
      <c r="O96">
        <f t="shared" si="1"/>
        <v>-708.88</v>
      </c>
      <c r="P96">
        <f t="shared" si="0"/>
        <v>-708.88</v>
      </c>
      <c r="Q96">
        <f t="shared" si="0"/>
        <v>-708.88</v>
      </c>
      <c r="R96">
        <f t="shared" si="0"/>
        <v>-708.88</v>
      </c>
      <c r="S96">
        <f t="shared" si="0"/>
        <v>-708.88</v>
      </c>
      <c r="T96">
        <f t="shared" si="0"/>
        <v>-708.88</v>
      </c>
      <c r="U96">
        <f t="shared" si="0"/>
        <v>-708.88</v>
      </c>
      <c r="V96">
        <f t="shared" si="0"/>
        <v>-708.88</v>
      </c>
      <c r="W96">
        <f t="shared" si="0"/>
        <v>-708.88</v>
      </c>
      <c r="X96">
        <f t="shared" si="0"/>
        <v>-708.88</v>
      </c>
      <c r="Y96">
        <f t="shared" si="0"/>
        <v>-708.88</v>
      </c>
    </row>
    <row r="98" spans="1:9" x14ac:dyDescent="0.2">
      <c r="A98" t="s">
        <v>53</v>
      </c>
      <c r="I98">
        <v>2000</v>
      </c>
    </row>
    <row r="99" spans="1:9" x14ac:dyDescent="0.2">
      <c r="A99" t="s">
        <v>54</v>
      </c>
      <c r="E99">
        <v>1753</v>
      </c>
      <c r="I99">
        <v>1500</v>
      </c>
    </row>
    <row r="100" spans="1:9" x14ac:dyDescent="0.2">
      <c r="A100" t="s">
        <v>55</v>
      </c>
      <c r="E100" s="1">
        <v>44245.522476851853</v>
      </c>
      <c r="I100">
        <v>1000</v>
      </c>
    </row>
    <row r="101" spans="1:9" x14ac:dyDescent="0.2">
      <c r="A101" t="s">
        <v>56</v>
      </c>
      <c r="E101" s="1">
        <v>44245.523645833331</v>
      </c>
      <c r="I101">
        <v>750</v>
      </c>
    </row>
    <row r="102" spans="1:9" x14ac:dyDescent="0.2">
      <c r="A102" t="s">
        <v>57</v>
      </c>
      <c r="E102" s="1">
        <v>44245.524953703702</v>
      </c>
      <c r="I102">
        <v>500</v>
      </c>
    </row>
    <row r="103" spans="1:9" x14ac:dyDescent="0.2">
      <c r="A103" t="s">
        <v>58</v>
      </c>
      <c r="E103" t="s">
        <v>11</v>
      </c>
      <c r="I103">
        <v>250</v>
      </c>
    </row>
    <row r="104" spans="1:9" x14ac:dyDescent="0.2">
      <c r="A104" t="s">
        <v>59</v>
      </c>
      <c r="E104">
        <v>100175</v>
      </c>
      <c r="I104">
        <v>50</v>
      </c>
    </row>
    <row r="105" spans="1:9" x14ac:dyDescent="0.2">
      <c r="A105" t="s">
        <v>60</v>
      </c>
      <c r="E105" t="s">
        <v>61</v>
      </c>
      <c r="I105">
        <v>0</v>
      </c>
    </row>
    <row r="106" spans="1:9" x14ac:dyDescent="0.2">
      <c r="A106" t="s">
        <v>62</v>
      </c>
      <c r="E106" t="str">
        <f>"23000584"</f>
        <v>23000584</v>
      </c>
    </row>
    <row r="110" spans="1:9" x14ac:dyDescent="0.2">
      <c r="A110" t="s">
        <v>63</v>
      </c>
    </row>
    <row r="111" spans="1:9" x14ac:dyDescent="0.2">
      <c r="A111" t="s">
        <v>64</v>
      </c>
    </row>
    <row r="112" spans="1:9" x14ac:dyDescent="0.2">
      <c r="A112" t="s">
        <v>65</v>
      </c>
      <c r="E112" t="s">
        <v>61</v>
      </c>
    </row>
    <row r="113" spans="1:5" x14ac:dyDescent="0.2">
      <c r="A113" t="s">
        <v>66</v>
      </c>
      <c r="E113">
        <v>1</v>
      </c>
    </row>
    <row r="114" spans="1:5" x14ac:dyDescent="0.2">
      <c r="A114" t="s">
        <v>67</v>
      </c>
      <c r="E114" t="s">
        <v>11</v>
      </c>
    </row>
    <row r="115" spans="1:5" x14ac:dyDescent="0.2">
      <c r="A115" t="s">
        <v>68</v>
      </c>
      <c r="E115">
        <v>1</v>
      </c>
    </row>
    <row r="116" spans="1:5" x14ac:dyDescent="0.2">
      <c r="A116" t="s">
        <v>69</v>
      </c>
      <c r="E116" t="s">
        <v>11</v>
      </c>
    </row>
    <row r="117" spans="1:5" x14ac:dyDescent="0.2">
      <c r="A117" t="s">
        <v>70</v>
      </c>
      <c r="E117" t="s">
        <v>71</v>
      </c>
    </row>
    <row r="118" spans="1:5" x14ac:dyDescent="0.2">
      <c r="A118" t="s">
        <v>72</v>
      </c>
      <c r="E118" t="s">
        <v>40</v>
      </c>
    </row>
    <row r="119" spans="1:5" x14ac:dyDescent="0.2">
      <c r="A119" t="s">
        <v>73</v>
      </c>
      <c r="E119" t="s">
        <v>40</v>
      </c>
    </row>
    <row r="120" spans="1:5" x14ac:dyDescent="0.2">
      <c r="A120" t="s">
        <v>74</v>
      </c>
      <c r="E120" t="s">
        <v>75</v>
      </c>
    </row>
    <row r="122" spans="1:5" x14ac:dyDescent="0.2">
      <c r="A122" t="s">
        <v>76</v>
      </c>
    </row>
    <row r="123" spans="1:5" x14ac:dyDescent="0.2">
      <c r="A123" t="s">
        <v>77</v>
      </c>
      <c r="E123" t="s">
        <v>78</v>
      </c>
    </row>
    <row r="124" spans="1:5" x14ac:dyDescent="0.2">
      <c r="A124" t="s">
        <v>79</v>
      </c>
      <c r="E124">
        <v>8</v>
      </c>
    </row>
    <row r="125" spans="1:5" x14ac:dyDescent="0.2">
      <c r="A125" t="s">
        <v>80</v>
      </c>
      <c r="E125">
        <v>12</v>
      </c>
    </row>
    <row r="126" spans="1:5" x14ac:dyDescent="0.2">
      <c r="A126" t="s">
        <v>81</v>
      </c>
      <c r="E126">
        <v>96</v>
      </c>
    </row>
    <row r="127" spans="1:5" x14ac:dyDescent="0.2">
      <c r="A127" t="s">
        <v>82</v>
      </c>
      <c r="E127" t="s">
        <v>83</v>
      </c>
    </row>
    <row r="128" spans="1:5" x14ac:dyDescent="0.2">
      <c r="A128" t="s">
        <v>84</v>
      </c>
      <c r="E128" t="s">
        <v>85</v>
      </c>
    </row>
    <row r="129" spans="1:13" x14ac:dyDescent="0.2">
      <c r="A129" t="s">
        <v>86</v>
      </c>
      <c r="E129" t="s">
        <v>87</v>
      </c>
    </row>
    <row r="131" spans="1:13" x14ac:dyDescent="0.2">
      <c r="A131" t="s">
        <v>88</v>
      </c>
    </row>
    <row r="132" spans="1:13" x14ac:dyDescent="0.2">
      <c r="A132" t="s">
        <v>78</v>
      </c>
    </row>
    <row r="133" spans="1:13" x14ac:dyDescent="0.2">
      <c r="A133" t="s">
        <v>89</v>
      </c>
    </row>
    <row r="134" spans="1:13" x14ac:dyDescent="0.2">
      <c r="A134" t="s">
        <v>90</v>
      </c>
    </row>
    <row r="136" spans="1:13" x14ac:dyDescent="0.2">
      <c r="A136" t="s">
        <v>89</v>
      </c>
    </row>
    <row r="137" spans="1:13" x14ac:dyDescent="0.2">
      <c r="A137" t="s">
        <v>91</v>
      </c>
    </row>
    <row r="139" spans="1:13" x14ac:dyDescent="0.2">
      <c r="A139" t="s">
        <v>92</v>
      </c>
    </row>
    <row r="140" spans="1:13" x14ac:dyDescent="0.2">
      <c r="A140" t="s">
        <v>1</v>
      </c>
      <c r="E140">
        <v>1</v>
      </c>
    </row>
    <row r="142" spans="1:13" x14ac:dyDescent="0.2"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  <c r="H142">
        <v>7</v>
      </c>
      <c r="I142">
        <v>8</v>
      </c>
      <c r="J142">
        <v>9</v>
      </c>
      <c r="K142">
        <v>10</v>
      </c>
      <c r="L142">
        <v>11</v>
      </c>
      <c r="M142">
        <v>12</v>
      </c>
    </row>
    <row r="143" spans="1:13" x14ac:dyDescent="0.2">
      <c r="A143" t="s">
        <v>22</v>
      </c>
      <c r="B143" t="s">
        <v>93</v>
      </c>
      <c r="C143" t="s">
        <v>93</v>
      </c>
      <c r="D143" t="s">
        <v>94</v>
      </c>
      <c r="E143" t="s">
        <v>94</v>
      </c>
      <c r="F143" t="s">
        <v>95</v>
      </c>
      <c r="G143" t="s">
        <v>95</v>
      </c>
      <c r="H143" t="s">
        <v>96</v>
      </c>
      <c r="I143" t="s">
        <v>96</v>
      </c>
      <c r="J143" t="s">
        <v>97</v>
      </c>
      <c r="K143" t="s">
        <v>97</v>
      </c>
      <c r="L143" t="s">
        <v>98</v>
      </c>
      <c r="M143" t="s">
        <v>98</v>
      </c>
    </row>
    <row r="144" spans="1:13" x14ac:dyDescent="0.2">
      <c r="A144" t="s">
        <v>23</v>
      </c>
      <c r="B144" t="s">
        <v>99</v>
      </c>
      <c r="C144" t="s">
        <v>99</v>
      </c>
      <c r="D144" t="s">
        <v>100</v>
      </c>
      <c r="E144" t="s">
        <v>100</v>
      </c>
      <c r="F144" t="s">
        <v>101</v>
      </c>
      <c r="G144" t="s">
        <v>101</v>
      </c>
      <c r="H144" t="s">
        <v>102</v>
      </c>
      <c r="I144" t="s">
        <v>102</v>
      </c>
      <c r="J144" t="s">
        <v>103</v>
      </c>
      <c r="K144" t="s">
        <v>103</v>
      </c>
      <c r="L144" t="s">
        <v>98</v>
      </c>
      <c r="M144" t="s">
        <v>98</v>
      </c>
    </row>
    <row r="145" spans="1:13" x14ac:dyDescent="0.2">
      <c r="A145" t="s">
        <v>24</v>
      </c>
      <c r="B145" t="s">
        <v>104</v>
      </c>
      <c r="C145" t="s">
        <v>104</v>
      </c>
      <c r="D145" t="s">
        <v>105</v>
      </c>
      <c r="E145" t="s">
        <v>105</v>
      </c>
      <c r="F145" t="s">
        <v>106</v>
      </c>
      <c r="G145" t="s">
        <v>106</v>
      </c>
      <c r="H145" t="s">
        <v>107</v>
      </c>
      <c r="I145" t="s">
        <v>107</v>
      </c>
      <c r="J145" t="s">
        <v>98</v>
      </c>
      <c r="K145" t="s">
        <v>98</v>
      </c>
      <c r="L145" t="s">
        <v>98</v>
      </c>
      <c r="M145" t="s">
        <v>98</v>
      </c>
    </row>
    <row r="146" spans="1:13" x14ac:dyDescent="0.2">
      <c r="A146" t="s">
        <v>25</v>
      </c>
      <c r="B146" t="s">
        <v>108</v>
      </c>
      <c r="C146" t="s">
        <v>108</v>
      </c>
      <c r="D146" t="s">
        <v>109</v>
      </c>
      <c r="E146" t="s">
        <v>109</v>
      </c>
      <c r="F146" t="s">
        <v>110</v>
      </c>
      <c r="G146" t="s">
        <v>110</v>
      </c>
      <c r="H146" t="s">
        <v>111</v>
      </c>
      <c r="I146" t="s">
        <v>111</v>
      </c>
      <c r="J146" t="s">
        <v>98</v>
      </c>
      <c r="K146" t="s">
        <v>98</v>
      </c>
      <c r="L146" t="s">
        <v>98</v>
      </c>
      <c r="M146" t="s">
        <v>98</v>
      </c>
    </row>
    <row r="147" spans="1:13" x14ac:dyDescent="0.2">
      <c r="A147" t="s">
        <v>26</v>
      </c>
      <c r="B147" t="s">
        <v>112</v>
      </c>
      <c r="C147" t="s">
        <v>112</v>
      </c>
      <c r="D147" t="s">
        <v>113</v>
      </c>
      <c r="E147" t="s">
        <v>113</v>
      </c>
      <c r="F147" t="s">
        <v>114</v>
      </c>
      <c r="G147" t="s">
        <v>114</v>
      </c>
      <c r="H147" t="s">
        <v>115</v>
      </c>
      <c r="I147" t="s">
        <v>115</v>
      </c>
      <c r="J147" t="s">
        <v>98</v>
      </c>
      <c r="K147" t="s">
        <v>98</v>
      </c>
      <c r="L147" t="s">
        <v>98</v>
      </c>
      <c r="M147" t="s">
        <v>98</v>
      </c>
    </row>
    <row r="148" spans="1:13" x14ac:dyDescent="0.2">
      <c r="A148" t="s">
        <v>27</v>
      </c>
      <c r="B148" t="s">
        <v>116</v>
      </c>
      <c r="C148" t="s">
        <v>116</v>
      </c>
      <c r="D148" t="s">
        <v>117</v>
      </c>
      <c r="E148" t="s">
        <v>117</v>
      </c>
      <c r="F148" t="s">
        <v>118</v>
      </c>
      <c r="G148" t="s">
        <v>118</v>
      </c>
      <c r="H148" t="s">
        <v>119</v>
      </c>
      <c r="I148" t="s">
        <v>119</v>
      </c>
      <c r="J148" t="s">
        <v>98</v>
      </c>
      <c r="K148" t="s">
        <v>98</v>
      </c>
      <c r="L148" t="s">
        <v>98</v>
      </c>
      <c r="M148" t="s">
        <v>98</v>
      </c>
    </row>
    <row r="149" spans="1:13" x14ac:dyDescent="0.2">
      <c r="A149" t="s">
        <v>28</v>
      </c>
      <c r="B149" t="s">
        <v>120</v>
      </c>
      <c r="C149" t="s">
        <v>120</v>
      </c>
      <c r="D149" t="s">
        <v>121</v>
      </c>
      <c r="E149" t="s">
        <v>121</v>
      </c>
      <c r="F149" t="s">
        <v>122</v>
      </c>
      <c r="G149" t="s">
        <v>122</v>
      </c>
      <c r="H149" t="s">
        <v>123</v>
      </c>
      <c r="I149" t="s">
        <v>123</v>
      </c>
      <c r="J149" t="s">
        <v>98</v>
      </c>
      <c r="K149" t="s">
        <v>98</v>
      </c>
      <c r="L149" t="s">
        <v>98</v>
      </c>
      <c r="M149" t="s">
        <v>98</v>
      </c>
    </row>
    <row r="150" spans="1:13" x14ac:dyDescent="0.2">
      <c r="A150" t="s">
        <v>29</v>
      </c>
      <c r="B150" t="s">
        <v>124</v>
      </c>
      <c r="C150" t="s">
        <v>124</v>
      </c>
      <c r="D150" t="s">
        <v>125</v>
      </c>
      <c r="E150" t="s">
        <v>125</v>
      </c>
      <c r="F150" t="s">
        <v>126</v>
      </c>
      <c r="G150" t="s">
        <v>126</v>
      </c>
      <c r="H150" t="s">
        <v>127</v>
      </c>
      <c r="I150" t="s">
        <v>127</v>
      </c>
      <c r="J150" t="s">
        <v>98</v>
      </c>
      <c r="K150" t="s">
        <v>98</v>
      </c>
      <c r="L150" t="s">
        <v>98</v>
      </c>
      <c r="M150" t="s">
        <v>98</v>
      </c>
    </row>
    <row r="152" spans="1:13" x14ac:dyDescent="0.2">
      <c r="A152" t="s">
        <v>128</v>
      </c>
    </row>
    <row r="153" spans="1:13" x14ac:dyDescent="0.2">
      <c r="A153" t="s">
        <v>129</v>
      </c>
    </row>
    <row r="154" spans="1:13" x14ac:dyDescent="0.2">
      <c r="A154" t="s">
        <v>130</v>
      </c>
    </row>
    <row r="156" spans="1:13" x14ac:dyDescent="0.2">
      <c r="A156" t="s">
        <v>131</v>
      </c>
    </row>
    <row r="157" spans="1:13" x14ac:dyDescent="0.2">
      <c r="A157" t="s">
        <v>1</v>
      </c>
      <c r="E157">
        <v>1</v>
      </c>
    </row>
    <row r="158" spans="1:13" x14ac:dyDescent="0.2">
      <c r="A158" t="s">
        <v>132</v>
      </c>
      <c r="E158" t="s">
        <v>133</v>
      </c>
    </row>
    <row r="159" spans="1:13" x14ac:dyDescent="0.2">
      <c r="A159" t="s">
        <v>134</v>
      </c>
      <c r="E159" t="s">
        <v>135</v>
      </c>
    </row>
    <row r="160" spans="1:13" x14ac:dyDescent="0.2">
      <c r="A160" t="s">
        <v>136</v>
      </c>
      <c r="E160" t="s">
        <v>137</v>
      </c>
    </row>
    <row r="162" spans="1:5" x14ac:dyDescent="0.2">
      <c r="A162" t="s">
        <v>132</v>
      </c>
      <c r="E162" t="s">
        <v>138</v>
      </c>
    </row>
    <row r="163" spans="1:5" x14ac:dyDescent="0.2">
      <c r="A163" t="s">
        <v>134</v>
      </c>
      <c r="E163" t="s">
        <v>139</v>
      </c>
    </row>
    <row r="164" spans="1:5" x14ac:dyDescent="0.2">
      <c r="A164" t="s">
        <v>136</v>
      </c>
      <c r="E164" t="s">
        <v>140</v>
      </c>
    </row>
    <row r="165" spans="1:5" x14ac:dyDescent="0.2">
      <c r="A165" t="s">
        <v>141</v>
      </c>
      <c r="E165" t="s">
        <v>142</v>
      </c>
    </row>
    <row r="166" spans="1:5" x14ac:dyDescent="0.2">
      <c r="A166" t="s">
        <v>143</v>
      </c>
      <c r="E166" t="s">
        <v>144</v>
      </c>
    </row>
    <row r="167" spans="1:5" x14ac:dyDescent="0.2">
      <c r="A167" t="s">
        <v>145</v>
      </c>
      <c r="E167" t="s">
        <v>146</v>
      </c>
    </row>
    <row r="168" spans="1:5" x14ac:dyDescent="0.2">
      <c r="A168" t="s">
        <v>147</v>
      </c>
      <c r="E168" t="s">
        <v>40</v>
      </c>
    </row>
    <row r="169" spans="1:5" x14ac:dyDescent="0.2">
      <c r="A169" t="s">
        <v>148</v>
      </c>
      <c r="E169" t="s">
        <v>149</v>
      </c>
    </row>
    <row r="170" spans="1:5" x14ac:dyDescent="0.2">
      <c r="A170" t="s">
        <v>150</v>
      </c>
      <c r="E170" t="s">
        <v>149</v>
      </c>
    </row>
    <row r="171" spans="1:5" x14ac:dyDescent="0.2">
      <c r="A171" t="s">
        <v>151</v>
      </c>
      <c r="E171">
        <v>2000</v>
      </c>
    </row>
    <row r="172" spans="1:5" x14ac:dyDescent="0.2">
      <c r="A172" t="s">
        <v>152</v>
      </c>
      <c r="E172">
        <v>1500</v>
      </c>
    </row>
    <row r="173" spans="1:5" x14ac:dyDescent="0.2">
      <c r="A173" t="s">
        <v>153</v>
      </c>
      <c r="E173">
        <v>1000</v>
      </c>
    </row>
    <row r="174" spans="1:5" x14ac:dyDescent="0.2">
      <c r="A174" t="s">
        <v>154</v>
      </c>
      <c r="E174">
        <v>750</v>
      </c>
    </row>
    <row r="175" spans="1:5" x14ac:dyDescent="0.2">
      <c r="A175" t="s">
        <v>155</v>
      </c>
      <c r="E175">
        <v>500</v>
      </c>
    </row>
    <row r="176" spans="1:5" x14ac:dyDescent="0.2">
      <c r="A176" t="s">
        <v>156</v>
      </c>
      <c r="E176">
        <v>250</v>
      </c>
    </row>
    <row r="177" spans="1:5" x14ac:dyDescent="0.2">
      <c r="A177" t="s">
        <v>157</v>
      </c>
      <c r="E177">
        <v>125</v>
      </c>
    </row>
    <row r="178" spans="1:5" x14ac:dyDescent="0.2">
      <c r="A178" t="s">
        <v>158</v>
      </c>
      <c r="E178">
        <v>25</v>
      </c>
    </row>
    <row r="179" spans="1:5" x14ac:dyDescent="0.2">
      <c r="A179" t="s">
        <v>159</v>
      </c>
      <c r="E179">
        <v>0</v>
      </c>
    </row>
    <row r="180" spans="1:5" x14ac:dyDescent="0.2">
      <c r="A180" t="s">
        <v>160</v>
      </c>
      <c r="E180" t="s">
        <v>75</v>
      </c>
    </row>
    <row r="182" spans="1:5" x14ac:dyDescent="0.2">
      <c r="A182" t="s">
        <v>132</v>
      </c>
      <c r="E182" t="s">
        <v>161</v>
      </c>
    </row>
    <row r="183" spans="1:5" x14ac:dyDescent="0.2">
      <c r="A183" t="s">
        <v>134</v>
      </c>
      <c r="E183" t="s">
        <v>162</v>
      </c>
    </row>
    <row r="184" spans="1:5" x14ac:dyDescent="0.2">
      <c r="A184" t="s">
        <v>136</v>
      </c>
      <c r="E184" t="s">
        <v>163</v>
      </c>
    </row>
    <row r="186" spans="1:5" x14ac:dyDescent="0.2">
      <c r="A186" t="s">
        <v>132</v>
      </c>
      <c r="E186" t="s">
        <v>164</v>
      </c>
    </row>
    <row r="187" spans="1:5" x14ac:dyDescent="0.2">
      <c r="A187" t="s">
        <v>134</v>
      </c>
      <c r="E187" t="s">
        <v>165</v>
      </c>
    </row>
    <row r="188" spans="1:5" x14ac:dyDescent="0.2">
      <c r="A188" t="s">
        <v>136</v>
      </c>
      <c r="E188" t="s">
        <v>166</v>
      </c>
    </row>
    <row r="190" spans="1:5" x14ac:dyDescent="0.2">
      <c r="A190" t="s">
        <v>167</v>
      </c>
    </row>
    <row r="191" spans="1:5" x14ac:dyDescent="0.2">
      <c r="A191" t="s">
        <v>168</v>
      </c>
      <c r="E191" t="s">
        <v>169</v>
      </c>
    </row>
    <row r="192" spans="1:5" x14ac:dyDescent="0.2">
      <c r="A192" t="s">
        <v>170</v>
      </c>
      <c r="E192" t="s">
        <v>40</v>
      </c>
    </row>
    <row r="193" spans="1:5" x14ac:dyDescent="0.2">
      <c r="A193" t="s">
        <v>171</v>
      </c>
      <c r="E193" t="s">
        <v>172</v>
      </c>
    </row>
    <row r="194" spans="1:5" x14ac:dyDescent="0.2">
      <c r="A194" t="s">
        <v>173</v>
      </c>
      <c r="E194" t="s">
        <v>40</v>
      </c>
    </row>
    <row r="195" spans="1:5" x14ac:dyDescent="0.2">
      <c r="A195" t="s">
        <v>174</v>
      </c>
      <c r="E195" t="s">
        <v>175</v>
      </c>
    </row>
    <row r="196" spans="1:5" x14ac:dyDescent="0.2">
      <c r="A196" t="s">
        <v>176</v>
      </c>
      <c r="E196" t="s">
        <v>177</v>
      </c>
    </row>
    <row r="197" spans="1:5" x14ac:dyDescent="0.2">
      <c r="A197" t="s">
        <v>178</v>
      </c>
      <c r="E197" t="s">
        <v>179</v>
      </c>
    </row>
    <row r="199" spans="1:5" x14ac:dyDescent="0.2">
      <c r="A199" t="s">
        <v>180</v>
      </c>
    </row>
    <row r="200" spans="1:5" x14ac:dyDescent="0.2">
      <c r="A200" t="s">
        <v>181</v>
      </c>
    </row>
    <row r="201" spans="1:5" x14ac:dyDescent="0.2">
      <c r="A201" t="s">
        <v>182</v>
      </c>
    </row>
    <row r="202" spans="1:5" x14ac:dyDescent="0.2">
      <c r="A202" t="s">
        <v>183</v>
      </c>
      <c r="E202" t="s">
        <v>184</v>
      </c>
    </row>
    <row r="203" spans="1:5" x14ac:dyDescent="0.2">
      <c r="A203" t="s">
        <v>185</v>
      </c>
      <c r="E203">
        <v>500</v>
      </c>
    </row>
    <row r="204" spans="1:5" x14ac:dyDescent="0.2">
      <c r="A204" t="s">
        <v>186</v>
      </c>
      <c r="E204" t="s">
        <v>187</v>
      </c>
    </row>
    <row r="205" spans="1:5" x14ac:dyDescent="0.2">
      <c r="A205" t="s">
        <v>188</v>
      </c>
      <c r="E205" t="s">
        <v>189</v>
      </c>
    </row>
    <row r="206" spans="1:5" x14ac:dyDescent="0.2">
      <c r="A206" t="s">
        <v>190</v>
      </c>
      <c r="E206" t="s">
        <v>191</v>
      </c>
    </row>
    <row r="207" spans="1:5" x14ac:dyDescent="0.2">
      <c r="A207" t="s">
        <v>192</v>
      </c>
      <c r="E207">
        <v>1</v>
      </c>
    </row>
    <row r="208" spans="1:5" x14ac:dyDescent="0.2">
      <c r="A208" t="s">
        <v>193</v>
      </c>
      <c r="E208">
        <v>1</v>
      </c>
    </row>
    <row r="209" spans="1:5" x14ac:dyDescent="0.2">
      <c r="A209" t="s">
        <v>194</v>
      </c>
    </row>
    <row r="210" spans="1:5" x14ac:dyDescent="0.2">
      <c r="A210" t="s">
        <v>195</v>
      </c>
      <c r="E210" t="s">
        <v>23</v>
      </c>
    </row>
    <row r="211" spans="1:5" x14ac:dyDescent="0.2">
      <c r="A211" t="s">
        <v>196</v>
      </c>
      <c r="E211" t="s">
        <v>197</v>
      </c>
    </row>
    <row r="213" spans="1:5" x14ac:dyDescent="0.2">
      <c r="A213" t="s">
        <v>198</v>
      </c>
    </row>
    <row r="214" spans="1:5" x14ac:dyDescent="0.2">
      <c r="A214" t="s">
        <v>199</v>
      </c>
      <c r="E214" t="s">
        <v>23</v>
      </c>
    </row>
    <row r="215" spans="1:5" x14ac:dyDescent="0.2">
      <c r="A215" t="s">
        <v>200</v>
      </c>
      <c r="E215" t="s">
        <v>11</v>
      </c>
    </row>
    <row r="216" spans="1:5" x14ac:dyDescent="0.2">
      <c r="A216" t="s">
        <v>201</v>
      </c>
      <c r="E216" t="s">
        <v>202</v>
      </c>
    </row>
    <row r="217" spans="1:5" x14ac:dyDescent="0.2">
      <c r="A217" t="s">
        <v>203</v>
      </c>
      <c r="E217" t="s">
        <v>204</v>
      </c>
    </row>
    <row r="218" spans="1:5" x14ac:dyDescent="0.2">
      <c r="A218" t="s">
        <v>205</v>
      </c>
      <c r="E218">
        <v>10</v>
      </c>
    </row>
    <row r="219" spans="1:5" x14ac:dyDescent="0.2">
      <c r="A219" t="s">
        <v>206</v>
      </c>
      <c r="E219">
        <v>9</v>
      </c>
    </row>
    <row r="220" spans="1:5" x14ac:dyDescent="0.2">
      <c r="A220" t="s">
        <v>207</v>
      </c>
      <c r="E220" s="3">
        <v>1</v>
      </c>
    </row>
    <row r="221" spans="1:5" x14ac:dyDescent="0.2">
      <c r="A221" t="s">
        <v>208</v>
      </c>
      <c r="E221" s="3">
        <v>1</v>
      </c>
    </row>
    <row r="222" spans="1:5" x14ac:dyDescent="0.2">
      <c r="A222" t="s">
        <v>209</v>
      </c>
      <c r="E222" s="3">
        <v>1</v>
      </c>
    </row>
    <row r="223" spans="1:5" x14ac:dyDescent="0.2">
      <c r="A223" t="s">
        <v>210</v>
      </c>
      <c r="E223">
        <v>1</v>
      </c>
    </row>
    <row r="224" spans="1:5" x14ac:dyDescent="0.2">
      <c r="A224" t="s">
        <v>211</v>
      </c>
      <c r="E224">
        <v>63609</v>
      </c>
    </row>
    <row r="225" spans="1:5" x14ac:dyDescent="0.2">
      <c r="A225" t="s">
        <v>212</v>
      </c>
      <c r="E225" s="1">
        <v>44221.718761574077</v>
      </c>
    </row>
    <row r="226" spans="1:5" x14ac:dyDescent="0.2">
      <c r="A226" t="s">
        <v>213</v>
      </c>
      <c r="E226" t="s">
        <v>214</v>
      </c>
    </row>
    <row r="227" spans="1:5" x14ac:dyDescent="0.2">
      <c r="A227" t="s">
        <v>215</v>
      </c>
      <c r="E227" t="s">
        <v>40</v>
      </c>
    </row>
    <row r="229" spans="1:5" x14ac:dyDescent="0.2">
      <c r="A229" t="s">
        <v>216</v>
      </c>
    </row>
    <row r="230" spans="1:5" x14ac:dyDescent="0.2">
      <c r="A230" t="s">
        <v>217</v>
      </c>
      <c r="E230">
        <v>140</v>
      </c>
    </row>
    <row r="231" spans="1:5" x14ac:dyDescent="0.2">
      <c r="A231" t="s">
        <v>218</v>
      </c>
      <c r="E231" t="s">
        <v>149</v>
      </c>
    </row>
    <row r="232" spans="1:5" x14ac:dyDescent="0.2">
      <c r="A232" t="s">
        <v>219</v>
      </c>
      <c r="E232" t="s">
        <v>220</v>
      </c>
    </row>
    <row r="233" spans="1:5" x14ac:dyDescent="0.2">
      <c r="A233" t="s">
        <v>221</v>
      </c>
    </row>
    <row r="234" spans="1:5" x14ac:dyDescent="0.2">
      <c r="A234" t="s">
        <v>212</v>
      </c>
      <c r="E234" s="4">
        <v>40544</v>
      </c>
    </row>
    <row r="235" spans="1:5" x14ac:dyDescent="0.2">
      <c r="A235" t="s">
        <v>213</v>
      </c>
      <c r="E235" t="s">
        <v>222</v>
      </c>
    </row>
    <row r="236" spans="1:5" x14ac:dyDescent="0.2">
      <c r="A236" t="s">
        <v>215</v>
      </c>
      <c r="E236" t="s">
        <v>172</v>
      </c>
    </row>
    <row r="238" spans="1:5" x14ac:dyDescent="0.2">
      <c r="A238" t="s">
        <v>223</v>
      </c>
      <c r="E238">
        <v>141</v>
      </c>
    </row>
    <row r="239" spans="1:5" x14ac:dyDescent="0.2">
      <c r="A239" t="s">
        <v>218</v>
      </c>
      <c r="E239" t="s">
        <v>149</v>
      </c>
    </row>
    <row r="240" spans="1:5" x14ac:dyDescent="0.2">
      <c r="A240" t="s">
        <v>219</v>
      </c>
      <c r="E240" t="s">
        <v>224</v>
      </c>
    </row>
    <row r="241" spans="1:5" x14ac:dyDescent="0.2">
      <c r="A241" t="s">
        <v>221</v>
      </c>
    </row>
    <row r="242" spans="1:5" x14ac:dyDescent="0.2">
      <c r="A242" t="s">
        <v>212</v>
      </c>
      <c r="E242" s="4">
        <v>40544</v>
      </c>
    </row>
    <row r="243" spans="1:5" x14ac:dyDescent="0.2">
      <c r="A243" t="s">
        <v>213</v>
      </c>
      <c r="E243" t="s">
        <v>222</v>
      </c>
    </row>
    <row r="244" spans="1:5" x14ac:dyDescent="0.2">
      <c r="A244" t="s">
        <v>215</v>
      </c>
      <c r="E244" t="s">
        <v>172</v>
      </c>
    </row>
    <row r="246" spans="1:5" x14ac:dyDescent="0.2">
      <c r="A246" t="s">
        <v>225</v>
      </c>
      <c r="E246">
        <v>142</v>
      </c>
    </row>
    <row r="247" spans="1:5" x14ac:dyDescent="0.2">
      <c r="A247" t="s">
        <v>218</v>
      </c>
      <c r="E247" t="s">
        <v>149</v>
      </c>
    </row>
    <row r="248" spans="1:5" x14ac:dyDescent="0.2">
      <c r="A248" t="s">
        <v>219</v>
      </c>
      <c r="E248" t="s">
        <v>226</v>
      </c>
    </row>
    <row r="249" spans="1:5" x14ac:dyDescent="0.2">
      <c r="A249" t="s">
        <v>221</v>
      </c>
    </row>
    <row r="250" spans="1:5" x14ac:dyDescent="0.2">
      <c r="A250" t="s">
        <v>212</v>
      </c>
      <c r="E250" s="4">
        <v>40544</v>
      </c>
    </row>
    <row r="251" spans="1:5" x14ac:dyDescent="0.2">
      <c r="A251" t="s">
        <v>213</v>
      </c>
      <c r="E251" t="s">
        <v>222</v>
      </c>
    </row>
    <row r="252" spans="1:5" x14ac:dyDescent="0.2">
      <c r="A252" t="s">
        <v>215</v>
      </c>
      <c r="E252" t="s">
        <v>172</v>
      </c>
    </row>
    <row r="254" spans="1:5" x14ac:dyDescent="0.2">
      <c r="A254" t="s">
        <v>227</v>
      </c>
    </row>
    <row r="255" spans="1:5" x14ac:dyDescent="0.2">
      <c r="A255" t="s">
        <v>228</v>
      </c>
      <c r="E255">
        <v>23000584</v>
      </c>
    </row>
    <row r="256" spans="1:5" x14ac:dyDescent="0.2">
      <c r="A256" t="s">
        <v>229</v>
      </c>
      <c r="E256" t="s">
        <v>214</v>
      </c>
    </row>
    <row r="263" spans="1:1" x14ac:dyDescent="0.2">
      <c r="A263" t="s">
        <v>230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DD01-CBFE-E148-A912-93DFE57CA704}">
  <dimension ref="A1:N35"/>
  <sheetViews>
    <sheetView tabSelected="1" topLeftCell="A4" workbookViewId="0">
      <selection activeCell="I12" sqref="I12:I17"/>
    </sheetView>
  </sheetViews>
  <sheetFormatPr baseColWidth="10" defaultRowHeight="16" x14ac:dyDescent="0.2"/>
  <sheetData>
    <row r="1" spans="1:14" x14ac:dyDescent="0.2">
      <c r="B1" t="s">
        <v>44</v>
      </c>
    </row>
    <row r="2" spans="1:14" x14ac:dyDescent="0.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4" x14ac:dyDescent="0.2">
      <c r="B3" t="s">
        <v>22</v>
      </c>
      <c r="C3">
        <v>1954.61795166</v>
      </c>
      <c r="D3">
        <v>1954.61795166</v>
      </c>
      <c r="E3">
        <v>-12.14563392</v>
      </c>
      <c r="F3">
        <v>-12.14563392</v>
      </c>
      <c r="G3">
        <v>29.224876705100002</v>
      </c>
      <c r="H3">
        <v>29.224876705100002</v>
      </c>
      <c r="I3">
        <v>8.7773829477700005</v>
      </c>
      <c r="J3">
        <v>8.7773829477700005</v>
      </c>
      <c r="K3">
        <v>73.924049104700003</v>
      </c>
      <c r="L3">
        <v>73.924049104700003</v>
      </c>
    </row>
    <row r="4" spans="1:14" x14ac:dyDescent="0.2">
      <c r="B4" t="s">
        <v>23</v>
      </c>
      <c r="C4">
        <v>1523.7940134299999</v>
      </c>
      <c r="D4">
        <v>1523.7940134299999</v>
      </c>
      <c r="E4">
        <v>-9.2924952563000005</v>
      </c>
      <c r="F4">
        <v>-9.2924952563000005</v>
      </c>
      <c r="G4">
        <v>42.539523802799998</v>
      </c>
      <c r="H4">
        <v>42.539523802799998</v>
      </c>
      <c r="I4">
        <v>-1.6841254861999999</v>
      </c>
      <c r="J4">
        <v>-1.6841254861999999</v>
      </c>
      <c r="K4">
        <v>91.042881087500007</v>
      </c>
      <c r="L4">
        <v>91.042881087500007</v>
      </c>
    </row>
    <row r="5" spans="1:14" x14ac:dyDescent="0.2">
      <c r="B5" t="s">
        <v>24</v>
      </c>
      <c r="C5">
        <v>1030.6765476999999</v>
      </c>
      <c r="D5">
        <v>1030.6765476999999</v>
      </c>
      <c r="E5">
        <v>297.89543421399998</v>
      </c>
      <c r="F5">
        <v>297.89543421399998</v>
      </c>
      <c r="G5">
        <v>22.0920300455</v>
      </c>
      <c r="H5">
        <v>22.0920300455</v>
      </c>
      <c r="I5">
        <v>8.7773829477700005</v>
      </c>
      <c r="J5">
        <v>8.7773829477700005</v>
      </c>
    </row>
    <row r="6" spans="1:14" x14ac:dyDescent="0.2">
      <c r="B6" t="s">
        <v>25</v>
      </c>
      <c r="C6">
        <v>771.04092929499996</v>
      </c>
      <c r="D6">
        <v>771.04092929499996</v>
      </c>
      <c r="E6">
        <v>446.258644731</v>
      </c>
      <c r="F6">
        <v>446.258644731</v>
      </c>
      <c r="G6">
        <v>14.008137164700001</v>
      </c>
      <c r="H6">
        <v>14.008137164700001</v>
      </c>
      <c r="I6">
        <v>23.518599377400001</v>
      </c>
      <c r="J6">
        <v>23.518599377400001</v>
      </c>
    </row>
    <row r="7" spans="1:14" x14ac:dyDescent="0.2">
      <c r="B7" t="s">
        <v>26</v>
      </c>
      <c r="C7">
        <v>527.097573539</v>
      </c>
      <c r="D7">
        <v>527.097573539</v>
      </c>
      <c r="E7">
        <v>333.55966751099999</v>
      </c>
      <c r="F7">
        <v>333.55966751099999</v>
      </c>
      <c r="G7">
        <v>23.9941224881</v>
      </c>
      <c r="H7">
        <v>23.9941224881</v>
      </c>
      <c r="I7">
        <v>42.064000692199997</v>
      </c>
      <c r="J7">
        <v>42.064000692199997</v>
      </c>
    </row>
    <row r="8" spans="1:14" x14ac:dyDescent="0.2">
      <c r="B8" t="s">
        <v>27</v>
      </c>
      <c r="C8">
        <v>238.45504538399999</v>
      </c>
      <c r="D8">
        <v>238.45504538399999</v>
      </c>
      <c r="E8">
        <v>324.049205298</v>
      </c>
      <c r="F8">
        <v>324.049205298</v>
      </c>
      <c r="G8">
        <v>61.084925117600001</v>
      </c>
      <c r="H8">
        <v>61.084925117600001</v>
      </c>
      <c r="I8">
        <v>71.546433551500002</v>
      </c>
      <c r="J8">
        <v>71.546433551500002</v>
      </c>
    </row>
    <row r="9" spans="1:14" x14ac:dyDescent="0.2">
      <c r="B9" t="s">
        <v>28</v>
      </c>
      <c r="C9">
        <v>112.916944177</v>
      </c>
      <c r="D9">
        <v>112.916944177</v>
      </c>
      <c r="E9">
        <v>290.28706444300002</v>
      </c>
      <c r="F9">
        <v>290.28706444300002</v>
      </c>
      <c r="G9">
        <v>-5.0127872605999997</v>
      </c>
      <c r="H9">
        <v>-5.0127872605999997</v>
      </c>
      <c r="I9">
        <v>39.210862028400001</v>
      </c>
      <c r="J9">
        <v>39.210862028400001</v>
      </c>
    </row>
    <row r="10" spans="1:14" x14ac:dyDescent="0.2">
      <c r="B10" t="s">
        <v>29</v>
      </c>
      <c r="C10">
        <v>3.5466287307900002</v>
      </c>
      <c r="D10">
        <v>3.5466287307900002</v>
      </c>
      <c r="E10">
        <v>464.804046046</v>
      </c>
      <c r="F10">
        <v>464.804046046</v>
      </c>
      <c r="G10">
        <v>32.078015368899997</v>
      </c>
      <c r="H10">
        <v>32.078015368899997</v>
      </c>
      <c r="I10">
        <v>57.280740232500001</v>
      </c>
      <c r="J10">
        <v>57.280740232500001</v>
      </c>
    </row>
    <row r="11" spans="1:14" x14ac:dyDescent="0.2">
      <c r="D11" t="s">
        <v>241</v>
      </c>
      <c r="E11" t="s">
        <v>242</v>
      </c>
      <c r="F11" t="s">
        <v>243</v>
      </c>
      <c r="G11" t="s">
        <v>244</v>
      </c>
      <c r="H11" t="s">
        <v>245</v>
      </c>
      <c r="I11" t="s">
        <v>246</v>
      </c>
      <c r="J11" t="s">
        <v>247</v>
      </c>
    </row>
    <row r="12" spans="1:14" x14ac:dyDescent="0.2">
      <c r="A12" t="s">
        <v>237</v>
      </c>
      <c r="B12" t="s">
        <v>231</v>
      </c>
      <c r="C12">
        <v>297.89543421399998</v>
      </c>
      <c r="D12" s="5">
        <v>4</v>
      </c>
      <c r="E12" s="5">
        <f>C12*(10/D12)</f>
        <v>744.73858553499997</v>
      </c>
      <c r="F12" s="5">
        <f>E12/1000</f>
        <v>0.74473858553499994</v>
      </c>
      <c r="G12" s="5">
        <f>2/F12</f>
        <v>2.6855060807185844</v>
      </c>
      <c r="H12" s="5">
        <f>20/F12</f>
        <v>26.855060807185843</v>
      </c>
      <c r="I12" s="5">
        <f>50/6</f>
        <v>8.3333333333333339</v>
      </c>
      <c r="J12" s="5">
        <f>50-I12-H12</f>
        <v>14.811605859480821</v>
      </c>
    </row>
    <row r="13" spans="1:14" x14ac:dyDescent="0.2">
      <c r="A13" t="s">
        <v>237</v>
      </c>
      <c r="B13" t="s">
        <v>232</v>
      </c>
      <c r="C13">
        <v>446.258644731</v>
      </c>
      <c r="D13" s="5">
        <v>4</v>
      </c>
      <c r="E13" s="5">
        <f t="shared" ref="E13:E35" si="0">C13*(10/D13)</f>
        <v>1115.6466118275</v>
      </c>
      <c r="F13" s="5">
        <f t="shared" ref="F13:F35" si="1">E13/1000</f>
        <v>1.1156466118274999</v>
      </c>
      <c r="G13" s="5">
        <f t="shared" ref="G13:G35" si="2">2/F13</f>
        <v>1.7926823590884868</v>
      </c>
      <c r="H13" s="5">
        <f t="shared" ref="H13:H17" si="3">20/F13</f>
        <v>17.926823590884869</v>
      </c>
      <c r="I13" s="5">
        <f t="shared" ref="I13:I17" si="4">50/6</f>
        <v>8.3333333333333339</v>
      </c>
      <c r="J13" s="5">
        <f t="shared" ref="J13:J17" si="5">50-I13-H13</f>
        <v>23.739843075781796</v>
      </c>
    </row>
    <row r="14" spans="1:14" x14ac:dyDescent="0.2">
      <c r="A14" t="s">
        <v>237</v>
      </c>
      <c r="B14" t="s">
        <v>233</v>
      </c>
      <c r="C14">
        <v>333.55966751099999</v>
      </c>
      <c r="D14" s="5">
        <v>4</v>
      </c>
      <c r="E14" s="5">
        <f t="shared" si="0"/>
        <v>833.89916877749999</v>
      </c>
      <c r="F14" s="5">
        <f t="shared" si="1"/>
        <v>0.83389916877750003</v>
      </c>
      <c r="G14" s="5">
        <f t="shared" si="2"/>
        <v>2.3983714996766445</v>
      </c>
      <c r="H14" s="5">
        <f t="shared" si="3"/>
        <v>23.983714996766444</v>
      </c>
      <c r="I14" s="5">
        <f t="shared" si="4"/>
        <v>8.3333333333333339</v>
      </c>
      <c r="J14" s="5">
        <f t="shared" si="5"/>
        <v>17.68295166990022</v>
      </c>
    </row>
    <row r="15" spans="1:14" x14ac:dyDescent="0.2">
      <c r="A15" t="s">
        <v>237</v>
      </c>
      <c r="B15" t="s">
        <v>234</v>
      </c>
      <c r="C15">
        <v>324.049205298</v>
      </c>
      <c r="D15" s="5">
        <v>4</v>
      </c>
      <c r="E15" s="5">
        <f t="shared" si="0"/>
        <v>810.12301324500004</v>
      </c>
      <c r="F15" s="5">
        <f t="shared" si="1"/>
        <v>0.81012301324500002</v>
      </c>
      <c r="G15" s="5">
        <f t="shared" si="2"/>
        <v>2.4687608761894948</v>
      </c>
      <c r="H15" s="5">
        <f t="shared" si="3"/>
        <v>24.68760876189495</v>
      </c>
      <c r="I15" s="5">
        <f t="shared" si="4"/>
        <v>8.3333333333333339</v>
      </c>
      <c r="J15" s="5">
        <f t="shared" si="5"/>
        <v>16.979057904771715</v>
      </c>
    </row>
    <row r="16" spans="1:14" x14ac:dyDescent="0.2">
      <c r="A16" t="s">
        <v>237</v>
      </c>
      <c r="B16" t="s">
        <v>235</v>
      </c>
      <c r="C16">
        <v>290.28706444300002</v>
      </c>
      <c r="D16" s="5">
        <v>4</v>
      </c>
      <c r="E16" s="5">
        <f t="shared" si="0"/>
        <v>725.71766110750002</v>
      </c>
      <c r="F16" s="5">
        <f t="shared" si="1"/>
        <v>0.72571766110750002</v>
      </c>
      <c r="G16" s="5">
        <f t="shared" si="2"/>
        <v>2.7558926937892743</v>
      </c>
      <c r="H16" s="5">
        <f t="shared" si="3"/>
        <v>27.558926937892743</v>
      </c>
      <c r="I16" s="5">
        <f t="shared" si="4"/>
        <v>8.3333333333333339</v>
      </c>
      <c r="J16" s="5">
        <f t="shared" si="5"/>
        <v>14.107739728773922</v>
      </c>
    </row>
    <row r="17" spans="1:10" x14ac:dyDescent="0.2">
      <c r="A17" t="s">
        <v>237</v>
      </c>
      <c r="B17" t="s">
        <v>236</v>
      </c>
      <c r="C17">
        <v>464.804046046</v>
      </c>
      <c r="D17" s="5">
        <v>4</v>
      </c>
      <c r="E17" s="5">
        <f t="shared" si="0"/>
        <v>1162.010115115</v>
      </c>
      <c r="F17" s="5">
        <f t="shared" si="1"/>
        <v>1.162010115115</v>
      </c>
      <c r="G17" s="5">
        <f t="shared" si="2"/>
        <v>1.7211554133520319</v>
      </c>
      <c r="H17" s="5">
        <f t="shared" si="3"/>
        <v>17.21155413352032</v>
      </c>
      <c r="I17" s="5">
        <f t="shared" si="4"/>
        <v>8.3333333333333339</v>
      </c>
      <c r="J17" s="5">
        <f t="shared" si="5"/>
        <v>24.455112533146345</v>
      </c>
    </row>
    <row r="18" spans="1:10" x14ac:dyDescent="0.2">
      <c r="A18" t="s">
        <v>238</v>
      </c>
      <c r="B18" t="s">
        <v>231</v>
      </c>
      <c r="C18">
        <v>29.224876705100002</v>
      </c>
      <c r="D18" s="5">
        <v>4</v>
      </c>
      <c r="E18" s="5">
        <f t="shared" si="0"/>
        <v>73.062191762750004</v>
      </c>
      <c r="F18" s="5">
        <f t="shared" si="1"/>
        <v>7.3062191762750001E-2</v>
      </c>
      <c r="G18" s="5">
        <f t="shared" si="2"/>
        <v>27.373939266624618</v>
      </c>
    </row>
    <row r="19" spans="1:10" x14ac:dyDescent="0.2">
      <c r="A19" t="s">
        <v>238</v>
      </c>
      <c r="B19" t="s">
        <v>232</v>
      </c>
      <c r="C19">
        <v>42.539523802799998</v>
      </c>
      <c r="D19" s="5">
        <v>4</v>
      </c>
      <c r="E19" s="5">
        <f t="shared" si="0"/>
        <v>106.348809507</v>
      </c>
      <c r="F19" s="5">
        <f t="shared" si="1"/>
        <v>0.106348809507</v>
      </c>
      <c r="G19" s="5">
        <f t="shared" si="2"/>
        <v>18.806040324018461</v>
      </c>
    </row>
    <row r="20" spans="1:10" x14ac:dyDescent="0.2">
      <c r="A20" t="s">
        <v>238</v>
      </c>
      <c r="B20" t="s">
        <v>233</v>
      </c>
      <c r="C20">
        <v>22.0920300455</v>
      </c>
      <c r="D20" s="5">
        <v>4</v>
      </c>
      <c r="E20" s="5">
        <f t="shared" si="0"/>
        <v>55.230075113749997</v>
      </c>
      <c r="F20" s="5">
        <f t="shared" si="1"/>
        <v>5.5230075113749999E-2</v>
      </c>
      <c r="G20" s="5">
        <f t="shared" si="2"/>
        <v>36.212154263431067</v>
      </c>
    </row>
    <row r="21" spans="1:10" x14ac:dyDescent="0.2">
      <c r="A21" t="s">
        <v>238</v>
      </c>
      <c r="B21" t="s">
        <v>234</v>
      </c>
      <c r="C21">
        <v>14.008137164700001</v>
      </c>
      <c r="D21" s="5">
        <v>4</v>
      </c>
      <c r="E21" s="5">
        <f t="shared" si="0"/>
        <v>35.020342911749999</v>
      </c>
      <c r="F21" s="5">
        <f t="shared" si="1"/>
        <v>3.5020342911749998E-2</v>
      </c>
      <c r="G21" s="5">
        <f t="shared" si="2"/>
        <v>57.109663518713333</v>
      </c>
    </row>
    <row r="22" spans="1:10" x14ac:dyDescent="0.2">
      <c r="A22" t="s">
        <v>238</v>
      </c>
      <c r="B22" t="s">
        <v>235</v>
      </c>
      <c r="C22">
        <v>23.9941224881</v>
      </c>
      <c r="D22" s="5">
        <v>4</v>
      </c>
      <c r="E22" s="5">
        <f t="shared" si="0"/>
        <v>59.985306220250003</v>
      </c>
      <c r="F22" s="5">
        <f t="shared" si="1"/>
        <v>5.9985306220250001E-2</v>
      </c>
      <c r="G22" s="5">
        <f t="shared" si="2"/>
        <v>33.341498543935657</v>
      </c>
    </row>
    <row r="23" spans="1:10" x14ac:dyDescent="0.2">
      <c r="A23" t="s">
        <v>238</v>
      </c>
      <c r="B23" t="s">
        <v>236</v>
      </c>
      <c r="C23">
        <v>61.084925117600001</v>
      </c>
      <c r="D23" s="5">
        <v>4</v>
      </c>
      <c r="E23" s="5">
        <f t="shared" si="0"/>
        <v>152.71231279400001</v>
      </c>
      <c r="F23" s="5">
        <f t="shared" si="1"/>
        <v>0.15271231279400002</v>
      </c>
      <c r="G23" s="5">
        <f t="shared" si="2"/>
        <v>13.096520924922951</v>
      </c>
    </row>
    <row r="24" spans="1:10" x14ac:dyDescent="0.2">
      <c r="A24" t="s">
        <v>239</v>
      </c>
      <c r="B24" t="s">
        <v>231</v>
      </c>
      <c r="C24">
        <v>-5.0127872605999997</v>
      </c>
      <c r="D24" s="5">
        <v>4</v>
      </c>
      <c r="E24" s="5">
        <f t="shared" si="0"/>
        <v>-12.531968151499999</v>
      </c>
      <c r="F24" s="5">
        <f t="shared" si="1"/>
        <v>-1.2531968151499999E-2</v>
      </c>
      <c r="G24" s="5">
        <f t="shared" si="2"/>
        <v>-159.59185148109495</v>
      </c>
    </row>
    <row r="25" spans="1:10" x14ac:dyDescent="0.2">
      <c r="A25" t="s">
        <v>239</v>
      </c>
      <c r="B25" t="s">
        <v>232</v>
      </c>
      <c r="C25">
        <v>32.078015368899997</v>
      </c>
      <c r="D25" s="5">
        <v>4</v>
      </c>
      <c r="E25" s="5">
        <f t="shared" si="0"/>
        <v>80.195038422249993</v>
      </c>
      <c r="F25" s="5">
        <f t="shared" si="1"/>
        <v>8.0195038422249995E-2</v>
      </c>
      <c r="G25" s="5">
        <f t="shared" si="2"/>
        <v>24.939198725355347</v>
      </c>
    </row>
    <row r="26" spans="1:10" x14ac:dyDescent="0.2">
      <c r="A26" t="s">
        <v>239</v>
      </c>
      <c r="B26" t="s">
        <v>233</v>
      </c>
      <c r="C26">
        <v>8.7773829477700005</v>
      </c>
      <c r="D26" s="5">
        <v>4</v>
      </c>
      <c r="E26" s="5">
        <f t="shared" si="0"/>
        <v>21.943457369425001</v>
      </c>
      <c r="F26" s="5">
        <f t="shared" si="1"/>
        <v>2.1943457369425001E-2</v>
      </c>
      <c r="G26" s="5">
        <f t="shared" si="2"/>
        <v>91.143340191537348</v>
      </c>
    </row>
    <row r="27" spans="1:10" x14ac:dyDescent="0.2">
      <c r="A27" t="s">
        <v>239</v>
      </c>
      <c r="B27" t="s">
        <v>234</v>
      </c>
      <c r="C27">
        <v>-1.6841254861999999</v>
      </c>
      <c r="D27" s="5">
        <v>4</v>
      </c>
      <c r="E27" s="5">
        <f t="shared" si="0"/>
        <v>-4.2103137154999999</v>
      </c>
      <c r="F27" s="5">
        <f t="shared" si="1"/>
        <v>-4.2103137154999998E-3</v>
      </c>
      <c r="G27" s="5">
        <f t="shared" si="2"/>
        <v>-475.0239851812297</v>
      </c>
    </row>
    <row r="28" spans="1:10" x14ac:dyDescent="0.2">
      <c r="A28" t="s">
        <v>239</v>
      </c>
      <c r="B28" t="s">
        <v>235</v>
      </c>
      <c r="C28">
        <v>8.7773829477700005</v>
      </c>
      <c r="D28" s="5">
        <v>4</v>
      </c>
      <c r="E28" s="5">
        <f t="shared" si="0"/>
        <v>21.943457369425001</v>
      </c>
      <c r="F28" s="5">
        <f t="shared" si="1"/>
        <v>2.1943457369425001E-2</v>
      </c>
      <c r="G28" s="5">
        <f t="shared" si="2"/>
        <v>91.143340191537348</v>
      </c>
    </row>
    <row r="29" spans="1:10" x14ac:dyDescent="0.2">
      <c r="A29" t="s">
        <v>239</v>
      </c>
      <c r="B29" t="s">
        <v>236</v>
      </c>
      <c r="C29">
        <v>23.518599377400001</v>
      </c>
      <c r="D29" s="5">
        <v>4</v>
      </c>
      <c r="E29" s="5">
        <f t="shared" si="0"/>
        <v>58.796498443499999</v>
      </c>
      <c r="F29" s="5">
        <f t="shared" si="1"/>
        <v>5.8796498443499996E-2</v>
      </c>
      <c r="G29" s="5">
        <f t="shared" si="2"/>
        <v>34.015631082553043</v>
      </c>
    </row>
    <row r="30" spans="1:10" x14ac:dyDescent="0.2">
      <c r="A30" t="s">
        <v>240</v>
      </c>
      <c r="B30" t="s">
        <v>231</v>
      </c>
      <c r="C30">
        <v>42.064000692199997</v>
      </c>
      <c r="D30" s="5">
        <v>4</v>
      </c>
      <c r="E30" s="5">
        <f t="shared" si="0"/>
        <v>105.1600017305</v>
      </c>
      <c r="F30" s="5">
        <f t="shared" si="1"/>
        <v>0.1051600017305</v>
      </c>
      <c r="G30" s="5">
        <f t="shared" si="2"/>
        <v>19.018637952531829</v>
      </c>
    </row>
    <row r="31" spans="1:10" x14ac:dyDescent="0.2">
      <c r="A31" t="s">
        <v>240</v>
      </c>
      <c r="B31" t="s">
        <v>232</v>
      </c>
      <c r="C31">
        <v>71.546433551500002</v>
      </c>
      <c r="D31" s="5">
        <v>4</v>
      </c>
      <c r="E31" s="5">
        <f t="shared" si="0"/>
        <v>178.86608387875</v>
      </c>
      <c r="F31" s="5">
        <f t="shared" si="1"/>
        <v>0.17886608387875</v>
      </c>
      <c r="G31" s="5">
        <f t="shared" si="2"/>
        <v>11.181549663466456</v>
      </c>
    </row>
    <row r="32" spans="1:10" x14ac:dyDescent="0.2">
      <c r="A32" t="s">
        <v>240</v>
      </c>
      <c r="B32" t="s">
        <v>233</v>
      </c>
      <c r="C32">
        <v>39.210862028400001</v>
      </c>
      <c r="D32" s="5">
        <v>4</v>
      </c>
      <c r="E32" s="5">
        <f t="shared" si="0"/>
        <v>98.02715507100001</v>
      </c>
      <c r="F32" s="5">
        <f t="shared" si="1"/>
        <v>9.8027155071000016E-2</v>
      </c>
      <c r="G32" s="5">
        <f t="shared" si="2"/>
        <v>20.402509881587623</v>
      </c>
    </row>
    <row r="33" spans="1:7" x14ac:dyDescent="0.2">
      <c r="A33" t="s">
        <v>240</v>
      </c>
      <c r="B33" t="s">
        <v>234</v>
      </c>
      <c r="C33">
        <v>57.280740232500001</v>
      </c>
      <c r="D33" s="5">
        <v>4</v>
      </c>
      <c r="E33" s="5">
        <f t="shared" si="0"/>
        <v>143.20185058125</v>
      </c>
      <c r="F33" s="5">
        <f t="shared" si="1"/>
        <v>0.14320185058125001</v>
      </c>
      <c r="G33" s="5">
        <f t="shared" si="2"/>
        <v>13.966299959686889</v>
      </c>
    </row>
    <row r="34" spans="1:7" x14ac:dyDescent="0.2">
      <c r="A34" t="s">
        <v>240</v>
      </c>
      <c r="B34" t="s">
        <v>235</v>
      </c>
      <c r="C34">
        <v>73.924049104700003</v>
      </c>
      <c r="D34" s="5">
        <v>4</v>
      </c>
      <c r="E34" s="5">
        <f t="shared" si="0"/>
        <v>184.81012276174999</v>
      </c>
      <c r="F34" s="5">
        <f t="shared" si="1"/>
        <v>0.18481012276174999</v>
      </c>
      <c r="G34" s="5">
        <f t="shared" si="2"/>
        <v>10.821918031937688</v>
      </c>
    </row>
    <row r="35" spans="1:7" x14ac:dyDescent="0.2">
      <c r="A35" t="s">
        <v>240</v>
      </c>
      <c r="B35" t="s">
        <v>236</v>
      </c>
      <c r="C35">
        <v>91.042881087500007</v>
      </c>
      <c r="D35" s="5">
        <v>4</v>
      </c>
      <c r="E35" s="5">
        <f t="shared" si="0"/>
        <v>227.60720271875002</v>
      </c>
      <c r="F35" s="5">
        <f t="shared" si="1"/>
        <v>0.22760720271875001</v>
      </c>
      <c r="G35" s="5">
        <f t="shared" si="2"/>
        <v>8.7870681424408303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SA_BCA_02_18_21_Plate_2_Rd_3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dcterms:created xsi:type="dcterms:W3CDTF">2021-02-18T17:59:04Z</dcterms:created>
  <dcterms:modified xsi:type="dcterms:W3CDTF">2021-02-26T16:22:25Z</dcterms:modified>
</cp:coreProperties>
</file>