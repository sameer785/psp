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ryal/Google Drive/psp/bca/"/>
    </mc:Choice>
  </mc:AlternateContent>
  <xr:revisionPtr revIDLastSave="0" documentId="13_ncr:1_{A6506DFE-E25F-0341-A263-72E34536D31E}" xr6:coauthVersionLast="36" xr6:coauthVersionMax="36" xr10:uidLastSave="{00000000-0000-0000-0000-000000000000}"/>
  <bookViews>
    <workbookView xWindow="1800" yWindow="2260" windowWidth="32980" windowHeight="17440" activeTab="1" xr2:uid="{00000000-000D-0000-FFFF-FFFF00000000}"/>
  </bookViews>
  <sheets>
    <sheet name="01_20_21_Plate_1" sheetId="1" r:id="rId1"/>
    <sheet name="Sheet2" sheetId="3" r:id="rId2"/>
    <sheet name="Self_computed_curve" sheetId="2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J37" i="3" l="1"/>
  <c r="J36" i="3"/>
  <c r="J35" i="3"/>
  <c r="J34" i="3"/>
  <c r="J33" i="3"/>
  <c r="J32" i="3"/>
  <c r="J31" i="3"/>
  <c r="J30" i="3"/>
  <c r="J29" i="3"/>
  <c r="J28" i="3"/>
  <c r="J27" i="3"/>
  <c r="J26" i="3"/>
  <c r="O46" i="3"/>
  <c r="O45" i="3"/>
  <c r="O44" i="3"/>
  <c r="O43" i="3"/>
  <c r="O42" i="3"/>
  <c r="O41" i="3"/>
  <c r="O40" i="3"/>
  <c r="O39" i="3"/>
  <c r="W20" i="3"/>
  <c r="P20" i="3"/>
  <c r="AC24" i="3"/>
  <c r="AB24" i="3"/>
  <c r="AA24" i="3"/>
  <c r="Z24" i="3"/>
  <c r="Y24" i="3"/>
  <c r="X24" i="3"/>
  <c r="W24" i="3"/>
  <c r="V24" i="3"/>
  <c r="AC20" i="3"/>
  <c r="AB20" i="3"/>
  <c r="AA20" i="3"/>
  <c r="V20" i="3"/>
  <c r="U20" i="3"/>
  <c r="T20" i="3"/>
  <c r="O20" i="3"/>
  <c r="N20" i="3"/>
  <c r="M20" i="3"/>
  <c r="E14" i="3" l="1"/>
  <c r="F14" i="3" s="1"/>
  <c r="E15" i="3"/>
  <c r="F15" i="3" s="1"/>
  <c r="G15" i="3" s="1"/>
  <c r="E16" i="3"/>
  <c r="F16" i="3" s="1"/>
  <c r="G16" i="3" s="1"/>
  <c r="E17" i="3"/>
  <c r="F17" i="3" s="1"/>
  <c r="G17" i="3" s="1"/>
  <c r="E18" i="3"/>
  <c r="F18" i="3" s="1"/>
  <c r="E19" i="3"/>
  <c r="F19" i="3" s="1"/>
  <c r="E20" i="3"/>
  <c r="F20" i="3"/>
  <c r="Q20" i="3" s="1"/>
  <c r="E21" i="3"/>
  <c r="F21" i="3" s="1"/>
  <c r="E22" i="3"/>
  <c r="F22" i="3" s="1"/>
  <c r="G22" i="3" s="1"/>
  <c r="E23" i="3"/>
  <c r="F23" i="3" s="1"/>
  <c r="G23" i="3" s="1"/>
  <c r="E24" i="3"/>
  <c r="F24" i="3" s="1"/>
  <c r="E25" i="3"/>
  <c r="F25" i="3" s="1"/>
  <c r="E26" i="3"/>
  <c r="F26" i="3" s="1"/>
  <c r="E27" i="3"/>
  <c r="F27" i="3" s="1"/>
  <c r="E28" i="3"/>
  <c r="F28" i="3" s="1"/>
  <c r="G28" i="3" s="1"/>
  <c r="E29" i="3"/>
  <c r="F29" i="3"/>
  <c r="G29" i="3" s="1"/>
  <c r="E30" i="3"/>
  <c r="F30" i="3" s="1"/>
  <c r="E31" i="3"/>
  <c r="F31" i="3" s="1"/>
  <c r="E32" i="3"/>
  <c r="F32" i="3" s="1"/>
  <c r="S20" i="3" s="1"/>
  <c r="E33" i="3"/>
  <c r="F33" i="3" s="1"/>
  <c r="E34" i="3"/>
  <c r="F34" i="3" s="1"/>
  <c r="G34" i="3" s="1"/>
  <c r="E35" i="3"/>
  <c r="F35" i="3" s="1"/>
  <c r="G35" i="3" s="1"/>
  <c r="E36" i="3"/>
  <c r="F36" i="3" s="1"/>
  <c r="E13" i="3"/>
  <c r="F13" i="3" s="1"/>
  <c r="E12" i="2"/>
  <c r="F12" i="2" s="1"/>
  <c r="G12" i="2" s="1"/>
  <c r="E13" i="2"/>
  <c r="F13" i="2" s="1"/>
  <c r="G13" i="2" s="1"/>
  <c r="E14" i="2"/>
  <c r="F14" i="2"/>
  <c r="G14" i="2" s="1"/>
  <c r="E15" i="2"/>
  <c r="F15" i="2" s="1"/>
  <c r="G15" i="2" s="1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 s="1"/>
  <c r="G22" i="2" s="1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G11" i="2"/>
  <c r="F11" i="2"/>
  <c r="E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11" i="2"/>
  <c r="C3" i="1"/>
  <c r="C26" i="1"/>
  <c r="C45" i="1"/>
  <c r="C63" i="1"/>
  <c r="C86" i="1"/>
  <c r="C104" i="1"/>
  <c r="C123" i="1"/>
  <c r="C141" i="1"/>
  <c r="E167" i="1"/>
  <c r="K20" i="3" l="1"/>
  <c r="G25" i="3"/>
  <c r="T13" i="3"/>
  <c r="S13" i="3"/>
  <c r="R13" i="3"/>
  <c r="G36" i="3"/>
  <c r="Z20" i="3"/>
  <c r="G33" i="3"/>
  <c r="X20" i="3"/>
  <c r="G21" i="3"/>
  <c r="I20" i="3"/>
  <c r="G13" i="3"/>
  <c r="N13" i="3"/>
  <c r="M13" i="3"/>
  <c r="L13" i="3"/>
  <c r="G24" i="3"/>
  <c r="G19" i="3"/>
  <c r="J20" i="3"/>
  <c r="G30" i="3"/>
  <c r="Q13" i="3"/>
  <c r="P13" i="3"/>
  <c r="O13" i="3"/>
  <c r="G18" i="3"/>
  <c r="K13" i="3"/>
  <c r="J13" i="3"/>
  <c r="I13" i="3"/>
  <c r="G31" i="3"/>
  <c r="L20" i="3"/>
  <c r="G27" i="3"/>
  <c r="Y20" i="3"/>
  <c r="G32" i="3"/>
  <c r="G26" i="3"/>
  <c r="R20" i="3"/>
  <c r="G20" i="3"/>
  <c r="G14" i="3"/>
</calcChain>
</file>

<file path=xl/sharedStrings.xml><?xml version="1.0" encoding="utf-8"?>
<sst xmlns="http://schemas.openxmlformats.org/spreadsheetml/2006/main" count="861" uniqueCount="285">
  <si>
    <t xml:space="preserve">Plate information </t>
  </si>
  <si>
    <t>Plate</t>
  </si>
  <si>
    <t>Repeat</t>
  </si>
  <si>
    <t>Barcode</t>
  </si>
  <si>
    <t>Formula</t>
  </si>
  <si>
    <t>Inside temperature at start</t>
  </si>
  <si>
    <t>Inside temperature at end</t>
  </si>
  <si>
    <t>Ambient temperature at start</t>
  </si>
  <si>
    <t>Ambient temperature at end</t>
  </si>
  <si>
    <t>Measurement date</t>
  </si>
  <si>
    <t>Calc 1: Average of sample type = Average of samples where Measurement: Meas B  Sample: All samples</t>
  </si>
  <si>
    <t>N/A</t>
  </si>
  <si>
    <t>Background information</t>
  </si>
  <si>
    <t>Label</t>
  </si>
  <si>
    <t>Result</t>
  </si>
  <si>
    <t>Signal</t>
  </si>
  <si>
    <t>Flashes/Time</t>
  </si>
  <si>
    <t>Meastime</t>
  </si>
  <si>
    <t>MeasInfo</t>
  </si>
  <si>
    <t>Meas B</t>
  </si>
  <si>
    <t>De=1st Ex=Btm Em=N/A</t>
  </si>
  <si>
    <t>Calculated results: Calc 1: Average of sample type = Average of samples where Measurement: Meas B  Sample: All samples</t>
  </si>
  <si>
    <t>A</t>
  </si>
  <si>
    <t>B</t>
  </si>
  <si>
    <t>C</t>
  </si>
  <si>
    <t>D</t>
  </si>
  <si>
    <t>E</t>
  </si>
  <si>
    <t>F</t>
  </si>
  <si>
    <t>G</t>
  </si>
  <si>
    <t>H</t>
  </si>
  <si>
    <t xml:space="preserve">Curve information - Curve quality data </t>
  </si>
  <si>
    <t>Slope at 50% binding</t>
  </si>
  <si>
    <t>Intercept</t>
  </si>
  <si>
    <t>ED-20</t>
  </si>
  <si>
    <t>ED-50</t>
  </si>
  <si>
    <t>ED-80</t>
  </si>
  <si>
    <t>Correlation coefficient (R)</t>
  </si>
  <si>
    <t>Forced through origo</t>
  </si>
  <si>
    <t>Fitting status</t>
  </si>
  <si>
    <t>Calc 2: Curve fitting UNK calculation = Curve fitting UNK calculation where Data source: Meas B</t>
  </si>
  <si>
    <t>No</t>
  </si>
  <si>
    <t>OK</t>
  </si>
  <si>
    <t>Calculated results: Calc 2: Curve fitting UNK calculation = Curve fitting UNK calculation where Data source: Meas B</t>
  </si>
  <si>
    <t>Calc 3: Average of sample type = Average of samples where Measurement: Calc2: Curve fitting UNK calculation  Sample: All samples</t>
  </si>
  <si>
    <t>Calculated results: Calc 3: Average of sample type = Average of samples where Measurement: Calc2: Curve fitting UNK calculation  Sample: All samples</t>
  </si>
  <si>
    <t>Calc 4: Blank correction (Blanks on each plate) = X - B where X = Meas B B = Average of Blanks</t>
  </si>
  <si>
    <t>Calculated results: Calc 4: Blank correction (Blanks on each plate) = X - B where X = Meas B B = Average of Blanks</t>
  </si>
  <si>
    <t>Calc 5: Curve fitting (blank corrected) = Curve fitting UNK calculation (blank corrected) where Measurement: Calc4: Blank correction (Blanks on each plate)</t>
  </si>
  <si>
    <t>Calculated results: Calc 5: Curve fitting (blank corrected) = Curve fitting UNK calculation (blank corrected) where Measurement: Calc4: Blank correction (Blanks on each plate)</t>
  </si>
  <si>
    <t>Calc 6: %CV of sample type = 100 * SD / AVG where SD = Standard deviation of samples AVG = Average of samples Measurement: Meas B  Sample: All samples</t>
  </si>
  <si>
    <t>Calculated results: Calc 6: %CV of sample type = 100 * SD / AVG where SD = Standard deviation of samples AVG = Average of samples Measurement: Meas B  Sample: All samples</t>
  </si>
  <si>
    <t>Calc 7: Average of sample type = Average of samples where Measurement: Calc5: Curve fitting (blank corrected)  Sample: All samples</t>
  </si>
  <si>
    <t>Calculated results: Calc 7: Average of sample type = Average of samples where Measurement: Calc5: Curve fitting (blank corrected)  Sample: All samples</t>
  </si>
  <si>
    <t>Meas</t>
  </si>
  <si>
    <t>ScanX</t>
  </si>
  <si>
    <t>ScanY</t>
  </si>
  <si>
    <t>Measinfo</t>
  </si>
  <si>
    <t>Kinetics</t>
  </si>
  <si>
    <t>Results for Meas B -  (A)</t>
  </si>
  <si>
    <t xml:space="preserve">Basic assay information </t>
  </si>
  <si>
    <t xml:space="preserve">Assay ID: </t>
  </si>
  <si>
    <t xml:space="preserve">Assay Started: </t>
  </si>
  <si>
    <t xml:space="preserve">Assay Finished: </t>
  </si>
  <si>
    <t xml:space="preserve">Assay Exported: </t>
  </si>
  <si>
    <t xml:space="preserve">Assay Started By: </t>
  </si>
  <si>
    <t xml:space="preserve">Protocol ID: </t>
  </si>
  <si>
    <t xml:space="preserve">Protocol Name: </t>
  </si>
  <si>
    <t>Sameer Aryal BCA Gold</t>
  </si>
  <si>
    <t xml:space="preserve">Serial#: </t>
  </si>
  <si>
    <t>Protocol information</t>
  </si>
  <si>
    <t>Protocol:</t>
  </si>
  <si>
    <t>Protocol name</t>
  </si>
  <si>
    <t>Number of assay repeats</t>
  </si>
  <si>
    <t>Start assay repeat each</t>
  </si>
  <si>
    <t>Number of plate repeats</t>
  </si>
  <si>
    <t>Start plate repeat each</t>
  </si>
  <si>
    <t>Mode of measurement</t>
  </si>
  <si>
    <t>By Rows  bi-directional</t>
  </si>
  <si>
    <t>Rotated plate</t>
  </si>
  <si>
    <t>Soft move</t>
  </si>
  <si>
    <t>Protocol notes</t>
  </si>
  <si>
    <t xml:space="preserve"> </t>
  </si>
  <si>
    <t>Plate type:</t>
  </si>
  <si>
    <t>Name of the plate type</t>
  </si>
  <si>
    <t>96 General</t>
  </si>
  <si>
    <t>Number of rows</t>
  </si>
  <si>
    <t>Number of columns</t>
  </si>
  <si>
    <t>Number of the wells in the plate</t>
  </si>
  <si>
    <t>Height of the plate</t>
  </si>
  <si>
    <t>14.35 mm</t>
  </si>
  <si>
    <t>Diameter of the well</t>
  </si>
  <si>
    <t>6.5 mm</t>
  </si>
  <si>
    <t>Volume of the well</t>
  </si>
  <si>
    <t>300 µl</t>
  </si>
  <si>
    <t>Coordinates of corners:</t>
  </si>
  <si>
    <t>14.38 mm x------------------------------------------------------ x 113.38 mm</t>
  </si>
  <si>
    <t>11.24 mm                                                           11.24 mm</t>
  </si>
  <si>
    <t>74.24 mm                                                           74.24 mm</t>
  </si>
  <si>
    <t>Platemap:</t>
  </si>
  <si>
    <t xml:space="preserve">STD1 </t>
  </si>
  <si>
    <t xml:space="preserve">STD9 </t>
  </si>
  <si>
    <t xml:space="preserve">UNK7 </t>
  </si>
  <si>
    <t>UNK15</t>
  </si>
  <si>
    <t>UNK23</t>
  </si>
  <si>
    <t xml:space="preserve">-    </t>
  </si>
  <si>
    <t xml:space="preserve">STD2 </t>
  </si>
  <si>
    <t xml:space="preserve">BL   </t>
  </si>
  <si>
    <t xml:space="preserve">UNK8 </t>
  </si>
  <si>
    <t>UNK16</t>
  </si>
  <si>
    <t>UNK24</t>
  </si>
  <si>
    <t xml:space="preserve">STD3 </t>
  </si>
  <si>
    <t xml:space="preserve">UNK1 </t>
  </si>
  <si>
    <t xml:space="preserve">UNK9 </t>
  </si>
  <si>
    <t>UNK17</t>
  </si>
  <si>
    <t xml:space="preserve">STD4 </t>
  </si>
  <si>
    <t xml:space="preserve">UNK2 </t>
  </si>
  <si>
    <t>UNK10</t>
  </si>
  <si>
    <t>UNK18</t>
  </si>
  <si>
    <t xml:space="preserve">STD5 </t>
  </si>
  <si>
    <t xml:space="preserve">UNK3 </t>
  </si>
  <si>
    <t>UNK11</t>
  </si>
  <si>
    <t>UNK19</t>
  </si>
  <si>
    <t xml:space="preserve">STD6 </t>
  </si>
  <si>
    <t xml:space="preserve">UNK4 </t>
  </si>
  <si>
    <t>UNK12</t>
  </si>
  <si>
    <t>UNK20</t>
  </si>
  <si>
    <t xml:space="preserve">STD7 </t>
  </si>
  <si>
    <t xml:space="preserve">UNK5 </t>
  </si>
  <si>
    <t>UNK13</t>
  </si>
  <si>
    <t>UNK21</t>
  </si>
  <si>
    <t xml:space="preserve">STD8 </t>
  </si>
  <si>
    <t xml:space="preserve">UNK6 </t>
  </si>
  <si>
    <t>UNK14</t>
  </si>
  <si>
    <t>UNK22</t>
  </si>
  <si>
    <t xml:space="preserve"> STD - Standard</t>
  </si>
  <si>
    <t xml:space="preserve"> UNK - Unknown</t>
  </si>
  <si>
    <t xml:space="preserve"> - - Undefined</t>
  </si>
  <si>
    <t xml:space="preserve"> BL - Blank</t>
  </si>
  <si>
    <t>Calculations:</t>
  </si>
  <si>
    <t xml:space="preserve"> Formula index</t>
  </si>
  <si>
    <t>Calc 1</t>
  </si>
  <si>
    <t xml:space="preserve"> Formula name</t>
  </si>
  <si>
    <t>Average of sample type</t>
  </si>
  <si>
    <t xml:space="preserve"> Formula</t>
  </si>
  <si>
    <t>Average of samples where Measurement: B  Sample: All samples</t>
  </si>
  <si>
    <t>Calc 2</t>
  </si>
  <si>
    <t>Curve fitting UNK calculation</t>
  </si>
  <si>
    <t>Curve fitting UNK calculation where Data source: B</t>
  </si>
  <si>
    <t xml:space="preserve"> Fitting</t>
  </si>
  <si>
    <t>Linear regression</t>
  </si>
  <si>
    <t xml:space="preserve"> Method Options</t>
  </si>
  <si>
    <t>Unweighted</t>
  </si>
  <si>
    <t xml:space="preserve"> Curve direction</t>
  </si>
  <si>
    <t>Indefinite</t>
  </si>
  <si>
    <t xml:space="preserve"> Use Outliers</t>
  </si>
  <si>
    <t xml:space="preserve"> X-axis transformation</t>
  </si>
  <si>
    <t>None</t>
  </si>
  <si>
    <t xml:space="preserve"> Y-axis transformation</t>
  </si>
  <si>
    <t xml:space="preserve"> STD1</t>
  </si>
  <si>
    <t xml:space="preserve"> STD2</t>
  </si>
  <si>
    <t xml:space="preserve"> STD3</t>
  </si>
  <si>
    <t xml:space="preserve"> STD4</t>
  </si>
  <si>
    <t xml:space="preserve"> STD5</t>
  </si>
  <si>
    <t xml:space="preserve"> STD6</t>
  </si>
  <si>
    <t xml:space="preserve"> STD7</t>
  </si>
  <si>
    <t xml:space="preserve"> STD8</t>
  </si>
  <si>
    <t xml:space="preserve"> STD9</t>
  </si>
  <si>
    <t xml:space="preserve"> Formula unit</t>
  </si>
  <si>
    <t>Calc 3</t>
  </si>
  <si>
    <t>Average of samples where Measurement: Calc 2: Curve fitting UNK calculation  Sample: All samples</t>
  </si>
  <si>
    <t>Calc 4</t>
  </si>
  <si>
    <t>Blank correction (Blanks on each plate)</t>
  </si>
  <si>
    <t>Blank correction (Blanks on each plate) where X = B B = Average of Blanks</t>
  </si>
  <si>
    <t>Calc 5</t>
  </si>
  <si>
    <t>Curve fitting (blank corrected)</t>
  </si>
  <si>
    <t>Curve fitting (blank corrected) where Measurement: Calc 4: Blank correction (Blanks on each plate)</t>
  </si>
  <si>
    <t>Calc 6</t>
  </si>
  <si>
    <t>%CV of sample type</t>
  </si>
  <si>
    <t>100 * SD / AVG where SD = Standard deviation of samples AVG = Average of samples Measurement: B  Sample: All samples</t>
  </si>
  <si>
    <t>Calc 7</t>
  </si>
  <si>
    <t>Average of samples where Measurement: Calc 5: Curve fitting (blank corrected)  Sample: All samples</t>
  </si>
  <si>
    <t>Auto export parameters:</t>
  </si>
  <si>
    <t>Export format</t>
  </si>
  <si>
    <t>Plate5</t>
  </si>
  <si>
    <t>Picture</t>
  </si>
  <si>
    <t>Add plate number to the file name</t>
  </si>
  <si>
    <t>Yes</t>
  </si>
  <si>
    <t>Each plate to separate file</t>
  </si>
  <si>
    <t>Field separator to use</t>
  </si>
  <si>
    <t>System</t>
  </si>
  <si>
    <t>File name format</t>
  </si>
  <si>
    <t>Z:\SameerAryal\01_20_21_Plate_1.csv</t>
  </si>
  <si>
    <t>Exported data</t>
  </si>
  <si>
    <t>MeasB:Result Calc1:Average of sample type Calc2:Curve fitting UNK calculation Calc3:Average of sample type Calc4:Blank correction (Blanks on each plate) Calc5:Curve fitting (blank corrected) Calc6:%CV of sample type Calc7:Average of sample type</t>
  </si>
  <si>
    <t>Operations:</t>
  </si>
  <si>
    <t>Plate 1</t>
  </si>
  <si>
    <t xml:space="preserve">  Measurement</t>
  </si>
  <si>
    <t xml:space="preserve">    Meas</t>
  </si>
  <si>
    <t xml:space="preserve">    Tech</t>
  </si>
  <si>
    <t>Absorbance</t>
  </si>
  <si>
    <t>Measurements:</t>
  </si>
  <si>
    <t xml:space="preserve">Meas </t>
  </si>
  <si>
    <t>Exc. filter</t>
  </si>
  <si>
    <t>Excitation wavelength</t>
  </si>
  <si>
    <t>480 nm</t>
  </si>
  <si>
    <t>Measurement height</t>
  </si>
  <si>
    <t>7.5 mm</t>
  </si>
  <si>
    <t>Number of flashes</t>
  </si>
  <si>
    <t>Number of flashes integrated</t>
  </si>
  <si>
    <t>Flash power</t>
  </si>
  <si>
    <t>Excitation light</t>
  </si>
  <si>
    <t>Reference excitation light</t>
  </si>
  <si>
    <t>Reference AD gain</t>
  </si>
  <si>
    <t>Reference signal</t>
  </si>
  <si>
    <t>Last edited</t>
  </si>
  <si>
    <t>Last edited by</t>
  </si>
  <si>
    <t>EnSpire</t>
  </si>
  <si>
    <t>Factory preset</t>
  </si>
  <si>
    <t>Filters:</t>
  </si>
  <si>
    <t>Monochromator cutoff 230</t>
  </si>
  <si>
    <t>Filter polarization</t>
  </si>
  <si>
    <t>Description</t>
  </si>
  <si>
    <t>X230co Longpass=230nm  Tmin=90%</t>
  </si>
  <si>
    <t>Used with</t>
  </si>
  <si>
    <t>Installation</t>
  </si>
  <si>
    <t>Monochromator cutoff 360</t>
  </si>
  <si>
    <t>X360co Longpass=360nm  Tmin=90%</t>
  </si>
  <si>
    <t>Monochromator cutoff 585</t>
  </si>
  <si>
    <t>X585co Longpass=585nm  Tmin=75%</t>
  </si>
  <si>
    <t>Instrument:</t>
  </si>
  <si>
    <t>Serial number</t>
  </si>
  <si>
    <t>Nickname</t>
  </si>
  <si>
    <t>Assay notifications:</t>
  </si>
  <si>
    <t>INFO: Results re-calculated 1/20/2021 12:34:38 PM</t>
  </si>
  <si>
    <t>INFO: Results re-calculated 1/20/2021 1:01:19 PM</t>
  </si>
  <si>
    <t>INFO: Results re-calculated 1/20/2021 1:02:53 PM</t>
  </si>
  <si>
    <t>INFO: Results re-calculated 1/20/2021 1:03:24 PM</t>
  </si>
  <si>
    <t>INFO: Results re-calculated 1/20/2021 1:04:16 PM</t>
  </si>
  <si>
    <t>INFO: Results re-calculated 1/20/2021 1:05:31 PM</t>
  </si>
  <si>
    <t>INFO: Results re-calculated 1/20/2021 1:10:25 PM</t>
  </si>
  <si>
    <t>INFO: Results re-calculated 1/20/2021 1:11:08 PM</t>
  </si>
  <si>
    <t>INFO: Results re-calculated 1/20/2021 1:12:55 PM</t>
  </si>
  <si>
    <t>INFO: Results re-calculated 1/20/2021 1:14:38 PM</t>
  </si>
  <si>
    <t>Exported with EnSpire Workstation version 4.13.3005.1482</t>
  </si>
  <si>
    <t>Blank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</si>
  <si>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</si>
  <si>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</si>
  <si>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</si>
  <si>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</si>
  <si>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</si>
  <si>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</si>
  <si>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</si>
  <si>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</si>
  <si>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</si>
  <si>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</si>
  <si>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</si>
  <si>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</si>
  <si>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</si>
  <si>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</si>
  <si>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</si>
  <si>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</si>
  <si>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</si>
  <si>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</si>
  <si>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</si>
  <si>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</si>
  <si>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</si>
  <si>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</si>
  <si>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</si>
  <si>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</si>
  <si>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In ug/ml</t>
  </si>
  <si>
    <t>(10/1.5) fold dilution</t>
  </si>
  <si>
    <t>In ug ul</t>
  </si>
  <si>
    <t>To load 15ug</t>
  </si>
  <si>
    <t>I</t>
  </si>
  <si>
    <t>10/1.5 fold dilution</t>
  </si>
  <si>
    <t>Nuc1</t>
  </si>
  <si>
    <t>Nuc2</t>
  </si>
  <si>
    <t>Lys</t>
  </si>
  <si>
    <t>Cyto</t>
  </si>
  <si>
    <t>Cerebellum (S6) Nuclear vs Cytoplasmic</t>
  </si>
  <si>
    <t>N1</t>
  </si>
  <si>
    <t>N2</t>
  </si>
  <si>
    <t>Bsong PSD</t>
  </si>
  <si>
    <t>P1</t>
  </si>
  <si>
    <t>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</si>
</sst>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47" fontId="0" fillId="0" borderId="0" xfId="0" applyNumberFormat="1"/>
    <xf numFmtId="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/>
    <xf numFmtId="0" fontId="0" fillId="0" borderId="10" xfId="0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Self_computed_curve!$B$1:$B$9</c:f>
              <c:numCache>
                <c:formatCode>General</c:formatCode>
                <c:ptCount val="9"/>
                <c:pt idx="0">
                  <c:v>1.377</c:v>
                </c:pt>
                <c:pt idx="1">
                  <c:v>1.0069999999999999</c:v>
                </c:pt>
                <c:pt idx="2">
                  <c:v>0.70599999999999996</c:v>
                </c:pt>
                <c:pt idx="3">
                  <c:v>0.53500000000000003</c:v>
                </c:pt>
                <c:pt idx="4">
                  <c:v>0.375</c:v>
                </c:pt>
                <c:pt idx="5">
                  <c:v>0.185</c:v>
                </c:pt>
                <c:pt idx="6">
                  <c:v>0.107</c:v>
                </c:pt>
                <c:pt idx="7">
                  <c:v>4.5999999999999999E-2</c:v>
                </c:pt>
                <c:pt idx="8">
                  <c:v>8.0000000000000002E-3</c:v>
                </c:pt>
              </c:numCache>
            </c:numRef>
          </c:xVal>
          <c:yVal>
            <c:numRef>
              <c:f>Self_computed_curve!$A$1:$A$9</c:f>
              <c:numCache>
                <c:formatCode>General</c:formatCode>
                <c:ptCount val="9"/>
                <c:pt idx="0">
                  <c:v>2000</c:v>
                </c:pt>
                <c:pt idx="1">
                  <c:v>1500</c:v>
                </c:pt>
                <c:pt idx="2">
                  <c:v>1000</c:v>
                </c:pt>
                <c:pt idx="3">
                  <c:v>750</c:v>
                </c:pt>
                <c:pt idx="4">
                  <c:v>500</c:v>
                </c:pt>
                <c:pt idx="5">
                  <c:v>250</c:v>
                </c:pt>
                <c:pt idx="6">
                  <c:v>125</c:v>
                </c:pt>
                <c:pt idx="7">
                  <c:v>25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D-D046-8B32-9F651BA1E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167471"/>
        <c:axId val="1692919967"/>
      </c:scatterChart>
      <c:valAx>
        <c:axId val="169316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2919967"/>
        <c:crosses val="autoZero"/>
        <c:crossBetween val="midCat"/>
      </c:valAx>
      <c:valAx>
        <c:axId val="169291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6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692150</xdr:colOff>
      <xdr:row>12</xdr:row>
      <xdr:rowOff>127000</xdr:rowOff>
    </xdr:from>
    <xdr:to>
      <xdr:col>13</xdr:col>
      <xdr:colOff>311150</xdr:colOff>
      <xdr:row>26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6D09CF-3048-3B40-AD32-3A402BC50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1_20_21_SA_BCA_Plate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_20_21_SA_Plate_2"/>
      <sheetName val="Sheet1"/>
    </sheetNames>
    <sheetDataSet>
      <sheetData sheetId="0"/>
      <sheetData sheetId="1">
        <row r="13">
          <cell r="F13">
            <v>1.41396944489</v>
          </cell>
        </row>
        <row r="14">
          <cell r="F14">
            <v>1.4723945208475002</v>
          </cell>
        </row>
        <row r="15">
          <cell r="F15">
            <v>1.4723945208475002</v>
          </cell>
        </row>
        <row r="19">
          <cell r="F19">
            <v>1.01909651773</v>
          </cell>
        </row>
        <row r="20">
          <cell r="F20">
            <v>1.3615883423074999</v>
          </cell>
        </row>
        <row r="21">
          <cell r="F21">
            <v>0.97074473072999989</v>
          </cell>
        </row>
        <row r="31">
          <cell r="F31">
            <v>0.52953467436500001</v>
          </cell>
        </row>
        <row r="32">
          <cell r="F32">
            <v>0.7148831911950001</v>
          </cell>
        </row>
        <row r="33">
          <cell r="F33">
            <v>0.58393043473750006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opLeftCell="A107" workbookViewId="0">
      <selection activeCell="A128" sqref="A128:M137"/>
    </sheetView>
  </sheetViews>
  <sheetFormatPr baseColWidth="10" defaultRowHeight="16" x14ac:dyDescent="0.2"/>
  <sheetData>
    <row r="1" spans="1:13" x14ac:dyDescent="0.2">
      <c r="A1" t="s">
        <v>0</v>
      </c>
    </row>
    <row r="2" spans="1:13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3" x14ac:dyDescent="0.2">
      <c r="A3">
        <v>1</v>
      </c>
      <c r="B3">
        <v>1</v>
      </c>
      <c r="C3" t="str">
        <f>""</f>
        <v/>
      </c>
      <c r="D3" t="s">
        <v>10</v>
      </c>
      <c r="E3" t="s">
        <v>11</v>
      </c>
      <c r="F3" t="s">
        <v>11</v>
      </c>
      <c r="G3" t="s">
        <v>11</v>
      </c>
      <c r="H3" t="s">
        <v>11</v>
      </c>
      <c r="I3" s="1">
        <v>44216.519884259258</v>
      </c>
    </row>
    <row r="5" spans="1:13" x14ac:dyDescent="0.2">
      <c r="A5" t="s">
        <v>12</v>
      </c>
    </row>
    <row r="6" spans="1:13" x14ac:dyDescent="0.2">
      <c r="A6" t="s">
        <v>1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</row>
    <row r="7" spans="1:13" x14ac:dyDescent="0.2">
      <c r="A7">
        <v>1</v>
      </c>
      <c r="B7" t="s">
        <v>19</v>
      </c>
      <c r="C7">
        <v>0</v>
      </c>
      <c r="D7">
        <v>307868</v>
      </c>
      <c r="E7">
        <v>9</v>
      </c>
      <c r="F7" s="2">
        <v>0</v>
      </c>
      <c r="G7" t="s">
        <v>20</v>
      </c>
    </row>
    <row r="9" spans="1:13" x14ac:dyDescent="0.2">
      <c r="A9" t="s">
        <v>21</v>
      </c>
    </row>
    <row r="10" spans="1:13" x14ac:dyDescent="0.2"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22</v>
      </c>
      <c r="B11">
        <v>1.84</v>
      </c>
      <c r="C11">
        <v>1.84</v>
      </c>
      <c r="D11">
        <v>0.50800000000000001</v>
      </c>
      <c r="E11">
        <v>0.50800000000000001</v>
      </c>
      <c r="F11">
        <v>1.1655</v>
      </c>
      <c r="G11">
        <v>1.1655</v>
      </c>
      <c r="H11">
        <v>1.1645000000000001</v>
      </c>
      <c r="I11">
        <v>1.1645000000000001</v>
      </c>
      <c r="J11">
        <v>0.874</v>
      </c>
      <c r="K11">
        <v>0.874</v>
      </c>
      <c r="L11">
        <v>4.1678571429999998E-2</v>
      </c>
      <c r="M11">
        <v>4.1678571429999998E-2</v>
      </c>
    </row>
    <row r="12" spans="1:13" x14ac:dyDescent="0.2">
      <c r="A12" t="s">
        <v>23</v>
      </c>
      <c r="B12">
        <v>1.4775</v>
      </c>
      <c r="C12">
        <v>1.4775</v>
      </c>
      <c r="D12">
        <v>0.5</v>
      </c>
      <c r="E12">
        <v>0.5</v>
      </c>
      <c r="F12">
        <v>1.028</v>
      </c>
      <c r="G12">
        <v>1.028</v>
      </c>
      <c r="H12">
        <v>0.88949999999999996</v>
      </c>
      <c r="I12">
        <v>0.88949999999999996</v>
      </c>
      <c r="J12">
        <v>0.73799999999999999</v>
      </c>
      <c r="K12">
        <v>0.73799999999999999</v>
      </c>
      <c r="L12">
        <v>4.1678571429999998E-2</v>
      </c>
      <c r="M12">
        <v>4.1678571429999998E-2</v>
      </c>
    </row>
    <row r="13" spans="1:13" x14ac:dyDescent="0.2">
      <c r="A13" t="s">
        <v>24</v>
      </c>
      <c r="B13">
        <v>1.1984999999999999</v>
      </c>
      <c r="C13">
        <v>1.1984999999999999</v>
      </c>
      <c r="D13">
        <v>0.64749999999999996</v>
      </c>
      <c r="E13">
        <v>0.64749999999999996</v>
      </c>
      <c r="F13">
        <v>1.0694999999999999</v>
      </c>
      <c r="G13">
        <v>1.0694999999999999</v>
      </c>
      <c r="H13">
        <v>0.90600000000000003</v>
      </c>
      <c r="I13">
        <v>0.90600000000000003</v>
      </c>
      <c r="J13">
        <v>4.1678571429999998E-2</v>
      </c>
      <c r="K13">
        <v>4.1678571429999998E-2</v>
      </c>
      <c r="L13">
        <v>4.1678571429999998E-2</v>
      </c>
      <c r="M13">
        <v>4.1678571429999998E-2</v>
      </c>
    </row>
    <row r="14" spans="1:13" x14ac:dyDescent="0.2">
      <c r="A14" t="s">
        <v>25</v>
      </c>
      <c r="B14">
        <v>1.0185</v>
      </c>
      <c r="C14">
        <v>1.0185</v>
      </c>
      <c r="D14">
        <v>0.66049999999999998</v>
      </c>
      <c r="E14">
        <v>0.66049999999999998</v>
      </c>
      <c r="F14">
        <v>0.78500000000000003</v>
      </c>
      <c r="G14">
        <v>0.78500000000000003</v>
      </c>
      <c r="H14">
        <v>0.79800000000000004</v>
      </c>
      <c r="I14">
        <v>0.79800000000000004</v>
      </c>
      <c r="J14">
        <v>4.1678571429999998E-2</v>
      </c>
      <c r="K14">
        <v>4.1678571429999998E-2</v>
      </c>
      <c r="L14">
        <v>4.1678571429999998E-2</v>
      </c>
      <c r="M14">
        <v>4.1678571429999998E-2</v>
      </c>
    </row>
    <row r="15" spans="1:13" x14ac:dyDescent="0.2">
      <c r="A15" t="s">
        <v>26</v>
      </c>
      <c r="B15">
        <v>0.86299999999999999</v>
      </c>
      <c r="C15">
        <v>0.86299999999999999</v>
      </c>
      <c r="D15">
        <v>0.68799999999999994</v>
      </c>
      <c r="E15">
        <v>0.68799999999999994</v>
      </c>
      <c r="F15">
        <v>0.77149999999999996</v>
      </c>
      <c r="G15">
        <v>0.77149999999999996</v>
      </c>
      <c r="H15">
        <v>1.08</v>
      </c>
      <c r="I15">
        <v>1.08</v>
      </c>
      <c r="J15">
        <v>4.1678571429999998E-2</v>
      </c>
      <c r="K15">
        <v>4.1678571429999998E-2</v>
      </c>
      <c r="L15">
        <v>4.1678571429999998E-2</v>
      </c>
      <c r="M15">
        <v>4.1678571429999998E-2</v>
      </c>
    </row>
    <row r="16" spans="1:13" x14ac:dyDescent="0.2">
      <c r="A16" t="s">
        <v>27</v>
      </c>
      <c r="B16">
        <v>0.67200000000000004</v>
      </c>
      <c r="C16">
        <v>0.67200000000000004</v>
      </c>
      <c r="D16">
        <v>0.61050000000000004</v>
      </c>
      <c r="E16">
        <v>0.61050000000000004</v>
      </c>
      <c r="F16">
        <v>0.87250000000000005</v>
      </c>
      <c r="G16">
        <v>0.87250000000000005</v>
      </c>
      <c r="H16">
        <v>0.97899999999999998</v>
      </c>
      <c r="I16">
        <v>0.97899999999999998</v>
      </c>
      <c r="J16">
        <v>4.1678571429999998E-2</v>
      </c>
      <c r="K16">
        <v>4.1678571429999998E-2</v>
      </c>
      <c r="L16">
        <v>4.1678571429999998E-2</v>
      </c>
      <c r="M16">
        <v>4.1678571429999998E-2</v>
      </c>
    </row>
    <row r="17" spans="1:13" x14ac:dyDescent="0.2">
      <c r="A17" t="s">
        <v>28</v>
      </c>
      <c r="B17">
        <v>0.59650000000000003</v>
      </c>
      <c r="C17">
        <v>0.59650000000000003</v>
      </c>
      <c r="D17">
        <v>0.59899999999999998</v>
      </c>
      <c r="E17">
        <v>0.59899999999999998</v>
      </c>
      <c r="F17">
        <v>1.135</v>
      </c>
      <c r="G17">
        <v>1.135</v>
      </c>
      <c r="H17">
        <v>1.0515000000000001</v>
      </c>
      <c r="I17">
        <v>1.0515000000000001</v>
      </c>
      <c r="J17">
        <v>4.1678571429999998E-2</v>
      </c>
      <c r="K17">
        <v>4.1678571429999998E-2</v>
      </c>
      <c r="L17">
        <v>4.1678571429999998E-2</v>
      </c>
      <c r="M17">
        <v>4.1678571429999998E-2</v>
      </c>
    </row>
    <row r="18" spans="1:13" x14ac:dyDescent="0.2">
      <c r="A18" t="s">
        <v>29</v>
      </c>
      <c r="B18">
        <v>0.53600000000000003</v>
      </c>
      <c r="C18">
        <v>0.53600000000000003</v>
      </c>
      <c r="D18">
        <v>0.64700000000000002</v>
      </c>
      <c r="E18">
        <v>0.64700000000000002</v>
      </c>
      <c r="F18">
        <v>1.1735</v>
      </c>
      <c r="G18">
        <v>1.1735</v>
      </c>
      <c r="H18">
        <v>0.878</v>
      </c>
      <c r="I18">
        <v>0.878</v>
      </c>
      <c r="J18">
        <v>4.1678571429999998E-2</v>
      </c>
      <c r="K18">
        <v>4.1678571429999998E-2</v>
      </c>
      <c r="L18">
        <v>4.1678571429999998E-2</v>
      </c>
      <c r="M18">
        <v>4.1678571429999998E-2</v>
      </c>
    </row>
    <row r="20" spans="1:13" x14ac:dyDescent="0.2">
      <c r="A20" t="s">
        <v>30</v>
      </c>
    </row>
    <row r="21" spans="1:13" x14ac:dyDescent="0.2">
      <c r="A21" t="s">
        <v>4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38</v>
      </c>
    </row>
    <row r="22" spans="1:13" x14ac:dyDescent="0.2">
      <c r="A22" t="s">
        <v>39</v>
      </c>
      <c r="B22">
        <v>6.5864910999999997E-4</v>
      </c>
      <c r="C22">
        <v>0.51770088860999997</v>
      </c>
      <c r="D22">
        <v>-227.28473661999999</v>
      </c>
      <c r="E22">
        <v>610.79428737499995</v>
      </c>
      <c r="F22">
        <v>1448.87331137</v>
      </c>
      <c r="G22">
        <v>0.99946541281000001</v>
      </c>
      <c r="H22" t="s">
        <v>40</v>
      </c>
      <c r="I22" t="s">
        <v>41</v>
      </c>
    </row>
    <row r="24" spans="1:13" x14ac:dyDescent="0.2">
      <c r="A24" t="s">
        <v>0</v>
      </c>
    </row>
    <row r="25" spans="1:13" x14ac:dyDescent="0.2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  <c r="H25" t="s">
        <v>8</v>
      </c>
      <c r="I25" t="s">
        <v>9</v>
      </c>
    </row>
    <row r="26" spans="1:13" x14ac:dyDescent="0.2">
      <c r="A26">
        <v>1</v>
      </c>
      <c r="B26">
        <v>1</v>
      </c>
      <c r="C26" t="str">
        <f>""</f>
        <v/>
      </c>
      <c r="D26" t="s">
        <v>39</v>
      </c>
      <c r="E26" t="s">
        <v>11</v>
      </c>
      <c r="F26" t="s">
        <v>11</v>
      </c>
      <c r="G26" t="s">
        <v>11</v>
      </c>
      <c r="H26" t="s">
        <v>11</v>
      </c>
      <c r="I26" s="1">
        <v>44216.519884259258</v>
      </c>
    </row>
    <row r="28" spans="1:13" x14ac:dyDescent="0.2">
      <c r="A28" t="s">
        <v>12</v>
      </c>
    </row>
    <row r="29" spans="1:13" x14ac:dyDescent="0.2">
      <c r="A29" t="s">
        <v>1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</row>
    <row r="30" spans="1:13" x14ac:dyDescent="0.2">
      <c r="A30">
        <v>1</v>
      </c>
      <c r="B30" t="s">
        <v>19</v>
      </c>
      <c r="C30">
        <v>0</v>
      </c>
      <c r="D30">
        <v>307868</v>
      </c>
      <c r="E30">
        <v>9</v>
      </c>
      <c r="F30" s="2">
        <v>0</v>
      </c>
      <c r="G30" t="s">
        <v>20</v>
      </c>
    </row>
    <row r="32" spans="1:13" x14ac:dyDescent="0.2">
      <c r="A32" t="s">
        <v>42</v>
      </c>
    </row>
    <row r="33" spans="1:13" x14ac:dyDescent="0.2"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</row>
    <row r="34" spans="1:13" x14ac:dyDescent="0.2">
      <c r="A34" t="s">
        <v>22</v>
      </c>
      <c r="B34">
        <v>2063.7682474600001</v>
      </c>
      <c r="C34">
        <v>1951.41707395</v>
      </c>
      <c r="D34">
        <v>-14.728462419</v>
      </c>
      <c r="E34">
        <v>-14.728462419</v>
      </c>
      <c r="F34">
        <v>1011.61469016</v>
      </c>
      <c r="G34">
        <v>955.43910340299999</v>
      </c>
      <c r="H34">
        <v>958.475621606</v>
      </c>
      <c r="I34">
        <v>1005.54165375</v>
      </c>
      <c r="J34">
        <v>540.95436870900005</v>
      </c>
      <c r="K34">
        <v>540.95436870900005</v>
      </c>
      <c r="L34">
        <v>-723.75546279000002</v>
      </c>
      <c r="M34">
        <v>-723.75546279000002</v>
      </c>
    </row>
    <row r="35" spans="1:13" x14ac:dyDescent="0.2">
      <c r="A35" t="s">
        <v>23</v>
      </c>
      <c r="B35">
        <v>1502.0123799200001</v>
      </c>
      <c r="C35">
        <v>1412.43509294</v>
      </c>
      <c r="D35">
        <v>-25.356276129000001</v>
      </c>
      <c r="E35">
        <v>-28.392794332000001</v>
      </c>
      <c r="F35">
        <v>780.83930673700002</v>
      </c>
      <c r="G35">
        <v>768.69323392599995</v>
      </c>
      <c r="H35">
        <v>563.72825523100005</v>
      </c>
      <c r="I35">
        <v>565.24651433199995</v>
      </c>
      <c r="J35">
        <v>334.47113091300002</v>
      </c>
      <c r="K35">
        <v>334.47113091300002</v>
      </c>
      <c r="L35">
        <v>-722.23720369</v>
      </c>
      <c r="M35">
        <v>-723.75546279000002</v>
      </c>
    </row>
    <row r="36" spans="1:13" x14ac:dyDescent="0.2">
      <c r="A36" t="s">
        <v>24</v>
      </c>
      <c r="B36">
        <v>1045.01639039</v>
      </c>
      <c r="C36">
        <v>1022.24250387</v>
      </c>
      <c r="D36">
        <v>179.60870256499999</v>
      </c>
      <c r="E36">
        <v>214.52866189900001</v>
      </c>
      <c r="F36">
        <v>853.71574360600005</v>
      </c>
      <c r="G36">
        <v>821.832302476</v>
      </c>
      <c r="H36">
        <v>554.61870062200001</v>
      </c>
      <c r="I36">
        <v>624.45861928800002</v>
      </c>
      <c r="J36">
        <v>-722.23720369</v>
      </c>
      <c r="K36">
        <v>-722.23720369</v>
      </c>
      <c r="L36">
        <v>-723.75546279000002</v>
      </c>
      <c r="M36">
        <v>-723.75546279000002</v>
      </c>
    </row>
    <row r="37" spans="1:13" x14ac:dyDescent="0.2">
      <c r="A37" t="s">
        <v>25</v>
      </c>
      <c r="B37">
        <v>785.39408404100004</v>
      </c>
      <c r="C37">
        <v>735.29153369400001</v>
      </c>
      <c r="D37">
        <v>229.71125291300001</v>
      </c>
      <c r="E37">
        <v>203.90084818899999</v>
      </c>
      <c r="F37">
        <v>402.79279047799997</v>
      </c>
      <c r="G37">
        <v>408.86582688300001</v>
      </c>
      <c r="H37">
        <v>413.42060418800003</v>
      </c>
      <c r="I37">
        <v>437.71274981099998</v>
      </c>
      <c r="J37">
        <v>-722.23720369</v>
      </c>
      <c r="K37">
        <v>-722.23720369</v>
      </c>
      <c r="L37">
        <v>-723.75546279000002</v>
      </c>
      <c r="M37">
        <v>-723.75546279000002</v>
      </c>
    </row>
    <row r="38" spans="1:13" x14ac:dyDescent="0.2">
      <c r="A38" t="s">
        <v>26</v>
      </c>
      <c r="B38">
        <v>542.47262780999995</v>
      </c>
      <c r="C38">
        <v>506.03440937599999</v>
      </c>
      <c r="D38">
        <v>240.33906662300001</v>
      </c>
      <c r="E38">
        <v>276.77728505800002</v>
      </c>
      <c r="F38">
        <v>402.79279047799997</v>
      </c>
      <c r="G38">
        <v>367.87283114399997</v>
      </c>
      <c r="H38">
        <v>873.45311192500003</v>
      </c>
      <c r="I38">
        <v>833.97837528800005</v>
      </c>
      <c r="J38">
        <v>-720.71894458999998</v>
      </c>
      <c r="K38">
        <v>-720.71894458999998</v>
      </c>
      <c r="L38">
        <v>-722.23720369</v>
      </c>
      <c r="M38">
        <v>-723.75546279000002</v>
      </c>
    </row>
    <row r="39" spans="1:13" x14ac:dyDescent="0.2">
      <c r="A39" t="s">
        <v>27</v>
      </c>
      <c r="B39">
        <v>254.00339853599999</v>
      </c>
      <c r="C39">
        <v>214.52866189900001</v>
      </c>
      <c r="D39">
        <v>137.09744772499999</v>
      </c>
      <c r="E39">
        <v>144.68874323200001</v>
      </c>
      <c r="F39">
        <v>550.06392331799998</v>
      </c>
      <c r="G39">
        <v>527.29003679599998</v>
      </c>
      <c r="H39">
        <v>692.78027885300003</v>
      </c>
      <c r="I39">
        <v>707.96286986799998</v>
      </c>
      <c r="J39">
        <v>-722.23720369</v>
      </c>
      <c r="K39">
        <v>-722.23720369</v>
      </c>
      <c r="L39">
        <v>-720.71894458999998</v>
      </c>
      <c r="M39">
        <v>-722.23720369</v>
      </c>
    </row>
    <row r="40" spans="1:13" x14ac:dyDescent="0.2">
      <c r="A40" t="s">
        <v>28</v>
      </c>
      <c r="B40">
        <v>135.57918862400001</v>
      </c>
      <c r="C40">
        <v>103.695747493</v>
      </c>
      <c r="D40">
        <v>129.50615221800001</v>
      </c>
      <c r="E40">
        <v>117.360079406</v>
      </c>
      <c r="F40">
        <v>923.55566227300005</v>
      </c>
      <c r="G40">
        <v>950.88432609899996</v>
      </c>
      <c r="H40">
        <v>773.24801122999997</v>
      </c>
      <c r="I40">
        <v>847.64270720100001</v>
      </c>
      <c r="J40">
        <v>-722.23720369</v>
      </c>
      <c r="K40">
        <v>-722.23720369</v>
      </c>
      <c r="L40">
        <v>-722.23720369</v>
      </c>
      <c r="M40">
        <v>-722.23720369</v>
      </c>
    </row>
    <row r="41" spans="1:13" x14ac:dyDescent="0.2">
      <c r="A41" t="s">
        <v>29</v>
      </c>
      <c r="B41">
        <v>42.965383435500001</v>
      </c>
      <c r="C41">
        <v>12.6002014066</v>
      </c>
      <c r="D41">
        <v>184.16347987</v>
      </c>
      <c r="E41">
        <v>208.45562549300001</v>
      </c>
      <c r="F41">
        <v>985.80428543200003</v>
      </c>
      <c r="G41">
        <v>1005.54165375</v>
      </c>
      <c r="H41">
        <v>553.10044152099999</v>
      </c>
      <c r="I41">
        <v>540.95436870900005</v>
      </c>
      <c r="J41">
        <v>-723.75546279000002</v>
      </c>
      <c r="K41">
        <v>-725.27372190000006</v>
      </c>
      <c r="L41">
        <v>-723.75546279000002</v>
      </c>
      <c r="M41">
        <v>-722.23720369</v>
      </c>
    </row>
    <row r="43" spans="1:13" x14ac:dyDescent="0.2">
      <c r="A43" t="s">
        <v>0</v>
      </c>
    </row>
    <row r="44" spans="1:13" x14ac:dyDescent="0.2">
      <c r="A44" t="s">
        <v>1</v>
      </c>
      <c r="B44" t="s">
        <v>2</v>
      </c>
      <c r="C44" t="s">
        <v>3</v>
      </c>
      <c r="D44" t="s">
        <v>4</v>
      </c>
      <c r="E44" t="s">
        <v>5</v>
      </c>
      <c r="F44" t="s">
        <v>6</v>
      </c>
      <c r="G44" t="s">
        <v>7</v>
      </c>
      <c r="H44" t="s">
        <v>8</v>
      </c>
      <c r="I44" t="s">
        <v>9</v>
      </c>
    </row>
    <row r="45" spans="1:13" x14ac:dyDescent="0.2">
      <c r="A45">
        <v>1</v>
      </c>
      <c r="B45">
        <v>1</v>
      </c>
      <c r="C45" t="str">
        <f>""</f>
        <v/>
      </c>
      <c r="D45" t="s">
        <v>43</v>
      </c>
      <c r="E45" t="s">
        <v>11</v>
      </c>
      <c r="F45" t="s">
        <v>11</v>
      </c>
      <c r="G45" t="s">
        <v>11</v>
      </c>
      <c r="H45" t="s">
        <v>11</v>
      </c>
      <c r="I45" s="1">
        <v>44216.519884259258</v>
      </c>
    </row>
    <row r="47" spans="1:13" x14ac:dyDescent="0.2">
      <c r="A47" t="s">
        <v>12</v>
      </c>
    </row>
    <row r="48" spans="1:13" x14ac:dyDescent="0.2">
      <c r="A48" t="s">
        <v>1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</row>
    <row r="50" spans="1:13" x14ac:dyDescent="0.2">
      <c r="A50" t="s">
        <v>44</v>
      </c>
    </row>
    <row r="51" spans="1:13" x14ac:dyDescent="0.2"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</row>
    <row r="52" spans="1:13" x14ac:dyDescent="0.2">
      <c r="A52" t="s">
        <v>22</v>
      </c>
      <c r="B52">
        <v>2007.5926606999999</v>
      </c>
      <c r="C52">
        <v>2007.5926606999999</v>
      </c>
      <c r="D52">
        <v>-14.728462419</v>
      </c>
      <c r="E52">
        <v>-14.728462419</v>
      </c>
      <c r="F52">
        <v>983.52689678000002</v>
      </c>
      <c r="G52">
        <v>983.52689678000002</v>
      </c>
      <c r="H52">
        <v>982.00863767800001</v>
      </c>
      <c r="I52">
        <v>982.00863767800001</v>
      </c>
      <c r="J52">
        <v>540.95436870900005</v>
      </c>
      <c r="K52">
        <v>540.95436870900005</v>
      </c>
      <c r="L52">
        <v>-722.72521555000003</v>
      </c>
      <c r="M52">
        <v>-722.72521555000003</v>
      </c>
    </row>
    <row r="53" spans="1:13" x14ac:dyDescent="0.2">
      <c r="A53" t="s">
        <v>23</v>
      </c>
      <c r="B53">
        <v>1457.2237364299999</v>
      </c>
      <c r="C53">
        <v>1457.2237364299999</v>
      </c>
      <c r="D53">
        <v>-26.874535230999999</v>
      </c>
      <c r="E53">
        <v>-26.874535230999999</v>
      </c>
      <c r="F53">
        <v>774.76627033099999</v>
      </c>
      <c r="G53">
        <v>774.76627033099999</v>
      </c>
      <c r="H53">
        <v>564.48738478099995</v>
      </c>
      <c r="I53">
        <v>564.48738478099995</v>
      </c>
      <c r="J53">
        <v>334.47113091300002</v>
      </c>
      <c r="K53">
        <v>334.47113091300002</v>
      </c>
      <c r="L53">
        <v>-722.72521555000003</v>
      </c>
      <c r="M53">
        <v>-722.72521555000003</v>
      </c>
    </row>
    <row r="54" spans="1:13" x14ac:dyDescent="0.2">
      <c r="A54" t="s">
        <v>24</v>
      </c>
      <c r="B54">
        <v>1033.62944713</v>
      </c>
      <c r="C54">
        <v>1033.62944713</v>
      </c>
      <c r="D54">
        <v>197.06868223199999</v>
      </c>
      <c r="E54">
        <v>197.06868223199999</v>
      </c>
      <c r="F54">
        <v>837.77402304099996</v>
      </c>
      <c r="G54">
        <v>837.77402304099996</v>
      </c>
      <c r="H54">
        <v>589.53865995499996</v>
      </c>
      <c r="I54">
        <v>589.53865995499996</v>
      </c>
      <c r="J54">
        <v>-722.72521555000003</v>
      </c>
      <c r="K54">
        <v>-722.72521555000003</v>
      </c>
      <c r="L54">
        <v>-722.72521555000003</v>
      </c>
      <c r="M54">
        <v>-722.72521555000003</v>
      </c>
    </row>
    <row r="55" spans="1:13" x14ac:dyDescent="0.2">
      <c r="A55" t="s">
        <v>25</v>
      </c>
      <c r="B55">
        <v>760.34280886800002</v>
      </c>
      <c r="C55">
        <v>760.34280886800002</v>
      </c>
      <c r="D55">
        <v>216.806050551</v>
      </c>
      <c r="E55">
        <v>216.806050551</v>
      </c>
      <c r="F55">
        <v>405.82930868099999</v>
      </c>
      <c r="G55">
        <v>405.82930868099999</v>
      </c>
      <c r="H55">
        <v>425.56667699899998</v>
      </c>
      <c r="I55">
        <v>425.56667699899998</v>
      </c>
      <c r="J55">
        <v>-722.72521555000003</v>
      </c>
      <c r="K55">
        <v>-722.72521555000003</v>
      </c>
      <c r="L55">
        <v>-722.72521555000003</v>
      </c>
      <c r="M55">
        <v>-722.72521555000003</v>
      </c>
    </row>
    <row r="56" spans="1:13" x14ac:dyDescent="0.2">
      <c r="A56" t="s">
        <v>26</v>
      </c>
      <c r="B56">
        <v>524.25351859299997</v>
      </c>
      <c r="C56">
        <v>524.25351859299997</v>
      </c>
      <c r="D56">
        <v>258.55817584099998</v>
      </c>
      <c r="E56">
        <v>258.55817584099998</v>
      </c>
      <c r="F56">
        <v>385.332810811</v>
      </c>
      <c r="G56">
        <v>385.332810811</v>
      </c>
      <c r="H56">
        <v>853.71574360600005</v>
      </c>
      <c r="I56">
        <v>853.71574360600005</v>
      </c>
      <c r="J56">
        <v>-722.72521555000003</v>
      </c>
      <c r="K56">
        <v>-722.72521555000003</v>
      </c>
      <c r="L56">
        <v>-722.72521555000003</v>
      </c>
      <c r="M56">
        <v>-722.72521555000003</v>
      </c>
    </row>
    <row r="57" spans="1:13" x14ac:dyDescent="0.2">
      <c r="A57" t="s">
        <v>27</v>
      </c>
      <c r="B57">
        <v>234.26603021700001</v>
      </c>
      <c r="C57">
        <v>234.26603021700001</v>
      </c>
      <c r="D57">
        <v>140.89309547900001</v>
      </c>
      <c r="E57">
        <v>140.89309547900001</v>
      </c>
      <c r="F57">
        <v>538.67698005700004</v>
      </c>
      <c r="G57">
        <v>538.67698005700004</v>
      </c>
      <c r="H57">
        <v>700.37157436099994</v>
      </c>
      <c r="I57">
        <v>700.37157436099994</v>
      </c>
      <c r="J57">
        <v>-722.72521555000003</v>
      </c>
      <c r="K57">
        <v>-722.72521555000003</v>
      </c>
      <c r="L57">
        <v>-722.72521555000003</v>
      </c>
      <c r="M57">
        <v>-722.72521555000003</v>
      </c>
    </row>
    <row r="58" spans="1:13" x14ac:dyDescent="0.2">
      <c r="A58" t="s">
        <v>28</v>
      </c>
      <c r="B58">
        <v>119.637468058</v>
      </c>
      <c r="C58">
        <v>119.637468058</v>
      </c>
      <c r="D58">
        <v>123.433115812</v>
      </c>
      <c r="E58">
        <v>123.433115812</v>
      </c>
      <c r="F58">
        <v>937.21999418600001</v>
      </c>
      <c r="G58">
        <v>937.21999418600001</v>
      </c>
      <c r="H58">
        <v>810.44535921500005</v>
      </c>
      <c r="I58">
        <v>810.44535921500005</v>
      </c>
      <c r="J58">
        <v>-722.72521555000003</v>
      </c>
      <c r="K58">
        <v>-722.72521555000003</v>
      </c>
      <c r="L58">
        <v>-722.72521555000003</v>
      </c>
      <c r="M58">
        <v>-722.72521555000003</v>
      </c>
    </row>
    <row r="59" spans="1:13" x14ac:dyDescent="0.2">
      <c r="A59" t="s">
        <v>29</v>
      </c>
      <c r="B59">
        <v>27.782792421100002</v>
      </c>
      <c r="C59">
        <v>27.782792421100002</v>
      </c>
      <c r="D59">
        <v>196.30955268100001</v>
      </c>
      <c r="E59">
        <v>196.30955268100001</v>
      </c>
      <c r="F59">
        <v>995.67296959099997</v>
      </c>
      <c r="G59">
        <v>995.67296959099997</v>
      </c>
      <c r="H59">
        <v>547.02740511499997</v>
      </c>
      <c r="I59">
        <v>547.02740511499997</v>
      </c>
      <c r="J59">
        <v>-722.72521555000003</v>
      </c>
      <c r="K59">
        <v>-722.72521555000003</v>
      </c>
      <c r="L59">
        <v>-722.72521555000003</v>
      </c>
      <c r="M59">
        <v>-722.72521555000003</v>
      </c>
    </row>
    <row r="61" spans="1:13" x14ac:dyDescent="0.2">
      <c r="A61" t="s">
        <v>0</v>
      </c>
    </row>
    <row r="62" spans="1:13" x14ac:dyDescent="0.2">
      <c r="A62" t="s">
        <v>1</v>
      </c>
      <c r="B62" t="s">
        <v>2</v>
      </c>
      <c r="C62" t="s">
        <v>3</v>
      </c>
      <c r="D62" t="s">
        <v>4</v>
      </c>
      <c r="E62" t="s">
        <v>5</v>
      </c>
      <c r="F62" t="s">
        <v>6</v>
      </c>
      <c r="G62" t="s">
        <v>7</v>
      </c>
      <c r="H62" t="s">
        <v>8</v>
      </c>
      <c r="I62" t="s">
        <v>9</v>
      </c>
    </row>
    <row r="63" spans="1:13" x14ac:dyDescent="0.2">
      <c r="A63">
        <v>1</v>
      </c>
      <c r="B63">
        <v>1</v>
      </c>
      <c r="C63" t="str">
        <f>""</f>
        <v/>
      </c>
      <c r="D63" t="s">
        <v>45</v>
      </c>
      <c r="E63" t="s">
        <v>11</v>
      </c>
      <c r="F63" t="s">
        <v>11</v>
      </c>
      <c r="G63" t="s">
        <v>11</v>
      </c>
      <c r="H63" t="s">
        <v>11</v>
      </c>
      <c r="I63" s="1">
        <v>44216.519884259258</v>
      </c>
    </row>
    <row r="65" spans="1:13" x14ac:dyDescent="0.2">
      <c r="A65" t="s">
        <v>12</v>
      </c>
    </row>
    <row r="66" spans="1:13" x14ac:dyDescent="0.2">
      <c r="A66" t="s">
        <v>1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</row>
    <row r="67" spans="1:13" x14ac:dyDescent="0.2">
      <c r="A67">
        <v>1</v>
      </c>
      <c r="B67" t="s">
        <v>19</v>
      </c>
      <c r="C67">
        <v>0</v>
      </c>
      <c r="D67">
        <v>307868</v>
      </c>
      <c r="E67">
        <v>9</v>
      </c>
      <c r="F67" s="2">
        <v>0</v>
      </c>
      <c r="G67" t="s">
        <v>20</v>
      </c>
    </row>
    <row r="69" spans="1:13" x14ac:dyDescent="0.2">
      <c r="A69" t="s">
        <v>46</v>
      </c>
    </row>
    <row r="70" spans="1:13" x14ac:dyDescent="0.2"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</row>
    <row r="71" spans="1:13" x14ac:dyDescent="0.2">
      <c r="A71" t="s">
        <v>22</v>
      </c>
      <c r="B71">
        <v>1.377</v>
      </c>
      <c r="C71">
        <v>1.3029999999999999</v>
      </c>
      <c r="D71">
        <v>8.0000000000000002E-3</v>
      </c>
      <c r="E71">
        <v>8.0000000000000002E-3</v>
      </c>
      <c r="F71">
        <v>0.68400000000000005</v>
      </c>
      <c r="G71">
        <v>0.64700000000000002</v>
      </c>
      <c r="H71">
        <v>0.64900000000000002</v>
      </c>
      <c r="I71">
        <v>0.68</v>
      </c>
      <c r="J71">
        <v>0.374</v>
      </c>
      <c r="K71">
        <v>0.374</v>
      </c>
      <c r="L71">
        <v>-0.45900000000000002</v>
      </c>
      <c r="M71">
        <v>-0.45900000000000002</v>
      </c>
    </row>
    <row r="72" spans="1:13" x14ac:dyDescent="0.2">
      <c r="A72" t="s">
        <v>23</v>
      </c>
      <c r="B72">
        <v>1.0069999999999999</v>
      </c>
      <c r="C72">
        <v>0.94799999999999995</v>
      </c>
      <c r="D72">
        <v>1E-3</v>
      </c>
      <c r="E72">
        <v>-1E-3</v>
      </c>
      <c r="F72">
        <v>0.53200000000000003</v>
      </c>
      <c r="G72">
        <v>0.52400000000000002</v>
      </c>
      <c r="H72">
        <v>0.38900000000000001</v>
      </c>
      <c r="I72">
        <v>0.39</v>
      </c>
      <c r="J72">
        <v>0.23799999999999999</v>
      </c>
      <c r="K72">
        <v>0.23799999999999999</v>
      </c>
      <c r="L72">
        <v>-0.45800000000000002</v>
      </c>
      <c r="M72">
        <v>-0.45900000000000002</v>
      </c>
    </row>
    <row r="73" spans="1:13" x14ac:dyDescent="0.2">
      <c r="A73" t="s">
        <v>24</v>
      </c>
      <c r="B73">
        <v>0.70599999999999996</v>
      </c>
      <c r="C73">
        <v>0.69099999999999995</v>
      </c>
      <c r="D73">
        <v>0.13600000000000001</v>
      </c>
      <c r="E73">
        <v>0.159</v>
      </c>
      <c r="F73">
        <v>0.57999999999999996</v>
      </c>
      <c r="G73">
        <v>0.55900000000000005</v>
      </c>
      <c r="H73">
        <v>0.38300000000000001</v>
      </c>
      <c r="I73">
        <v>0.42899999999999999</v>
      </c>
      <c r="J73">
        <v>-0.45800000000000002</v>
      </c>
      <c r="K73">
        <v>-0.45800000000000002</v>
      </c>
      <c r="L73">
        <v>-0.45900000000000002</v>
      </c>
      <c r="M73">
        <v>-0.45900000000000002</v>
      </c>
    </row>
    <row r="74" spans="1:13" x14ac:dyDescent="0.2">
      <c r="A74" t="s">
        <v>25</v>
      </c>
      <c r="B74">
        <v>0.53500000000000003</v>
      </c>
      <c r="C74">
        <v>0.502</v>
      </c>
      <c r="D74">
        <v>0.16900000000000001</v>
      </c>
      <c r="E74">
        <v>0.152</v>
      </c>
      <c r="F74">
        <v>0.28299999999999997</v>
      </c>
      <c r="G74">
        <v>0.28699999999999998</v>
      </c>
      <c r="H74">
        <v>0.28999999999999998</v>
      </c>
      <c r="I74">
        <v>0.30599999999999999</v>
      </c>
      <c r="J74">
        <v>-0.45800000000000002</v>
      </c>
      <c r="K74">
        <v>-0.45800000000000002</v>
      </c>
      <c r="L74">
        <v>-0.45900000000000002</v>
      </c>
      <c r="M74">
        <v>-0.45900000000000002</v>
      </c>
    </row>
    <row r="75" spans="1:13" x14ac:dyDescent="0.2">
      <c r="A75" t="s">
        <v>26</v>
      </c>
      <c r="B75">
        <v>0.375</v>
      </c>
      <c r="C75">
        <v>0.35099999999999998</v>
      </c>
      <c r="D75">
        <v>0.17599999999999999</v>
      </c>
      <c r="E75">
        <v>0.2</v>
      </c>
      <c r="F75">
        <v>0.28299999999999997</v>
      </c>
      <c r="G75">
        <v>0.26</v>
      </c>
      <c r="H75">
        <v>0.59299999999999997</v>
      </c>
      <c r="I75">
        <v>0.56699999999999995</v>
      </c>
      <c r="J75">
        <v>-0.45700000000000002</v>
      </c>
      <c r="K75">
        <v>-0.45700000000000002</v>
      </c>
      <c r="L75">
        <v>-0.45800000000000002</v>
      </c>
      <c r="M75">
        <v>-0.45900000000000002</v>
      </c>
    </row>
    <row r="76" spans="1:13" x14ac:dyDescent="0.2">
      <c r="A76" t="s">
        <v>27</v>
      </c>
      <c r="B76">
        <v>0.185</v>
      </c>
      <c r="C76">
        <v>0.159</v>
      </c>
      <c r="D76">
        <v>0.108</v>
      </c>
      <c r="E76">
        <v>0.113</v>
      </c>
      <c r="F76">
        <v>0.38</v>
      </c>
      <c r="G76">
        <v>0.36499999999999999</v>
      </c>
      <c r="H76">
        <v>0.47399999999999998</v>
      </c>
      <c r="I76">
        <v>0.48399999999999999</v>
      </c>
      <c r="J76">
        <v>-0.45800000000000002</v>
      </c>
      <c r="K76">
        <v>-0.45800000000000002</v>
      </c>
      <c r="L76">
        <v>-0.45700000000000002</v>
      </c>
      <c r="M76">
        <v>-0.45800000000000002</v>
      </c>
    </row>
    <row r="77" spans="1:13" x14ac:dyDescent="0.2">
      <c r="A77" t="s">
        <v>28</v>
      </c>
      <c r="B77">
        <v>0.107</v>
      </c>
      <c r="C77">
        <v>8.5999999999999993E-2</v>
      </c>
      <c r="D77">
        <v>0.10299999999999999</v>
      </c>
      <c r="E77">
        <v>9.5000000000000001E-2</v>
      </c>
      <c r="F77">
        <v>0.626</v>
      </c>
      <c r="G77">
        <v>0.64400000000000002</v>
      </c>
      <c r="H77">
        <v>0.52700000000000002</v>
      </c>
      <c r="I77">
        <v>0.57599999999999996</v>
      </c>
      <c r="J77">
        <v>-0.45800000000000002</v>
      </c>
      <c r="K77">
        <v>-0.45800000000000002</v>
      </c>
      <c r="L77">
        <v>-0.45800000000000002</v>
      </c>
      <c r="M77">
        <v>-0.45800000000000002</v>
      </c>
    </row>
    <row r="78" spans="1:13" x14ac:dyDescent="0.2">
      <c r="A78" t="s">
        <v>29</v>
      </c>
      <c r="B78">
        <v>4.5999999999999999E-2</v>
      </c>
      <c r="C78">
        <v>2.5999999999999999E-2</v>
      </c>
      <c r="D78">
        <v>0.13900000000000001</v>
      </c>
      <c r="E78">
        <v>0.155</v>
      </c>
      <c r="F78">
        <v>0.66700000000000004</v>
      </c>
      <c r="G78">
        <v>0.68</v>
      </c>
      <c r="H78">
        <v>0.38200000000000001</v>
      </c>
      <c r="I78">
        <v>0.374</v>
      </c>
      <c r="J78">
        <v>-0.45900000000000002</v>
      </c>
      <c r="K78">
        <v>-0.46</v>
      </c>
      <c r="L78">
        <v>-0.45900000000000002</v>
      </c>
      <c r="M78">
        <v>-0.45800000000000002</v>
      </c>
    </row>
    <row r="80" spans="1:13" x14ac:dyDescent="0.2">
      <c r="A80" t="s">
        <v>30</v>
      </c>
    </row>
    <row r="81" spans="1:13" x14ac:dyDescent="0.2">
      <c r="A81" t="s">
        <v>4</v>
      </c>
      <c r="B81" t="s">
        <v>31</v>
      </c>
      <c r="C81" t="s">
        <v>32</v>
      </c>
      <c r="D81" t="s">
        <v>33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</row>
    <row r="82" spans="1:13" x14ac:dyDescent="0.2">
      <c r="A82" t="s">
        <v>47</v>
      </c>
      <c r="B82">
        <v>6.5864910999999997E-4</v>
      </c>
      <c r="C82">
        <v>1.770088861E-2</v>
      </c>
      <c r="D82">
        <v>380.01890395599997</v>
      </c>
      <c r="E82">
        <v>990.35906273600006</v>
      </c>
      <c r="F82">
        <v>1600.69922152</v>
      </c>
      <c r="G82">
        <v>0.99946541281000001</v>
      </c>
      <c r="H82" t="s">
        <v>40</v>
      </c>
      <c r="I82" t="s">
        <v>41</v>
      </c>
    </row>
    <row r="84" spans="1:13" x14ac:dyDescent="0.2">
      <c r="A84" t="s">
        <v>0</v>
      </c>
    </row>
    <row r="85" spans="1:13" x14ac:dyDescent="0.2">
      <c r="A85" t="s">
        <v>1</v>
      </c>
      <c r="B85" t="s">
        <v>2</v>
      </c>
      <c r="C85" t="s">
        <v>3</v>
      </c>
      <c r="D85" t="s">
        <v>4</v>
      </c>
      <c r="E85" t="s">
        <v>5</v>
      </c>
      <c r="F85" t="s">
        <v>6</v>
      </c>
      <c r="G85" t="s">
        <v>7</v>
      </c>
      <c r="H85" t="s">
        <v>8</v>
      </c>
      <c r="I85" t="s">
        <v>9</v>
      </c>
    </row>
    <row r="86" spans="1:13" x14ac:dyDescent="0.2">
      <c r="A86">
        <v>1</v>
      </c>
      <c r="B86">
        <v>1</v>
      </c>
      <c r="C86" t="str">
        <f>""</f>
        <v/>
      </c>
      <c r="D86" t="s">
        <v>47</v>
      </c>
      <c r="E86" t="s">
        <v>11</v>
      </c>
      <c r="F86" t="s">
        <v>11</v>
      </c>
      <c r="G86" t="s">
        <v>11</v>
      </c>
      <c r="H86" t="s">
        <v>11</v>
      </c>
      <c r="I86" s="1">
        <v>44216.519884259258</v>
      </c>
    </row>
    <row r="88" spans="1:13" x14ac:dyDescent="0.2">
      <c r="A88" t="s">
        <v>12</v>
      </c>
    </row>
    <row r="89" spans="1:13" x14ac:dyDescent="0.2">
      <c r="A89" t="s">
        <v>1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</row>
    <row r="91" spans="1:13" x14ac:dyDescent="0.2">
      <c r="A91" t="s">
        <v>48</v>
      </c>
    </row>
    <row r="92" spans="1:13" x14ac:dyDescent="0.2">
      <c r="B92">
        <v>1</v>
      </c>
      <c r="C92">
        <v>2</v>
      </c>
      <c r="D92">
        <v>3</v>
      </c>
      <c r="E92">
        <v>4</v>
      </c>
      <c r="F92">
        <v>5</v>
      </c>
      <c r="G92">
        <v>6</v>
      </c>
      <c r="H92">
        <v>7</v>
      </c>
      <c r="I92">
        <v>8</v>
      </c>
      <c r="J92">
        <v>9</v>
      </c>
      <c r="K92">
        <v>10</v>
      </c>
      <c r="L92">
        <v>11</v>
      </c>
      <c r="M92">
        <v>12</v>
      </c>
    </row>
    <row r="93" spans="1:13" x14ac:dyDescent="0.2">
      <c r="A93" t="s">
        <v>22</v>
      </c>
      <c r="B93">
        <v>2063.7682474600001</v>
      </c>
      <c r="C93">
        <v>1951.41707395</v>
      </c>
      <c r="D93">
        <v>-14.728462419</v>
      </c>
      <c r="E93">
        <v>-14.728462419</v>
      </c>
      <c r="F93">
        <v>1011.61469016</v>
      </c>
      <c r="G93">
        <v>955.43910340299999</v>
      </c>
      <c r="H93">
        <v>958.475621606</v>
      </c>
      <c r="I93">
        <v>1005.54165375</v>
      </c>
      <c r="J93">
        <v>540.95436870900005</v>
      </c>
      <c r="K93">
        <v>540.95436870900005</v>
      </c>
      <c r="L93">
        <v>-723.75546279000002</v>
      </c>
      <c r="M93">
        <v>-723.75546279000002</v>
      </c>
    </row>
    <row r="94" spans="1:13" x14ac:dyDescent="0.2">
      <c r="A94" t="s">
        <v>23</v>
      </c>
      <c r="B94">
        <v>1502.0123799200001</v>
      </c>
      <c r="C94">
        <v>1412.43509294</v>
      </c>
      <c r="D94">
        <v>-25.356276129000001</v>
      </c>
      <c r="E94">
        <v>-28.392794332000001</v>
      </c>
      <c r="F94">
        <v>780.83930673700002</v>
      </c>
      <c r="G94">
        <v>768.69323392599995</v>
      </c>
      <c r="H94">
        <v>563.72825523100005</v>
      </c>
      <c r="I94">
        <v>565.24651433199995</v>
      </c>
      <c r="J94">
        <v>334.47113091300002</v>
      </c>
      <c r="K94">
        <v>334.47113091300002</v>
      </c>
      <c r="L94">
        <v>-722.23720369</v>
      </c>
      <c r="M94">
        <v>-723.75546279000002</v>
      </c>
    </row>
    <row r="95" spans="1:13" x14ac:dyDescent="0.2">
      <c r="A95" t="s">
        <v>24</v>
      </c>
      <c r="B95">
        <v>1045.01639039</v>
      </c>
      <c r="C95">
        <v>1022.24250387</v>
      </c>
      <c r="D95">
        <v>179.60870256499999</v>
      </c>
      <c r="E95">
        <v>214.52866189900001</v>
      </c>
      <c r="F95">
        <v>853.71574360600005</v>
      </c>
      <c r="G95">
        <v>821.832302476</v>
      </c>
      <c r="H95">
        <v>554.61870062200001</v>
      </c>
      <c r="I95">
        <v>624.45861928800002</v>
      </c>
      <c r="J95">
        <v>-722.23720369</v>
      </c>
      <c r="K95">
        <v>-722.23720369</v>
      </c>
      <c r="L95">
        <v>-723.75546279000002</v>
      </c>
      <c r="M95">
        <v>-723.75546279000002</v>
      </c>
    </row>
    <row r="96" spans="1:13" x14ac:dyDescent="0.2">
      <c r="A96" t="s">
        <v>25</v>
      </c>
      <c r="B96">
        <v>785.39408404100004</v>
      </c>
      <c r="C96">
        <v>735.29153369400001</v>
      </c>
      <c r="D96">
        <v>229.71125291300001</v>
      </c>
      <c r="E96">
        <v>203.90084818899999</v>
      </c>
      <c r="F96">
        <v>402.79279047799997</v>
      </c>
      <c r="G96">
        <v>408.86582688300001</v>
      </c>
      <c r="H96">
        <v>413.42060418800003</v>
      </c>
      <c r="I96">
        <v>437.71274981099998</v>
      </c>
      <c r="J96">
        <v>-722.23720369</v>
      </c>
      <c r="K96">
        <v>-722.23720369</v>
      </c>
      <c r="L96">
        <v>-723.75546279000002</v>
      </c>
      <c r="M96">
        <v>-723.75546279000002</v>
      </c>
    </row>
    <row r="97" spans="1:13" x14ac:dyDescent="0.2">
      <c r="A97" t="s">
        <v>26</v>
      </c>
      <c r="B97">
        <v>542.47262780999995</v>
      </c>
      <c r="C97">
        <v>506.03440937599999</v>
      </c>
      <c r="D97">
        <v>240.33906662300001</v>
      </c>
      <c r="E97">
        <v>276.77728505800002</v>
      </c>
      <c r="F97">
        <v>402.79279047799997</v>
      </c>
      <c r="G97">
        <v>367.87283114399997</v>
      </c>
      <c r="H97">
        <v>873.45311192500003</v>
      </c>
      <c r="I97">
        <v>833.97837528800005</v>
      </c>
      <c r="J97">
        <v>-720.71894458999998</v>
      </c>
      <c r="K97">
        <v>-720.71894458999998</v>
      </c>
      <c r="L97">
        <v>-722.23720369</v>
      </c>
      <c r="M97">
        <v>-723.75546279000002</v>
      </c>
    </row>
    <row r="98" spans="1:13" x14ac:dyDescent="0.2">
      <c r="A98" t="s">
        <v>27</v>
      </c>
      <c r="B98">
        <v>254.00339853599999</v>
      </c>
      <c r="C98">
        <v>214.52866189900001</v>
      </c>
      <c r="D98">
        <v>137.09744772499999</v>
      </c>
      <c r="E98">
        <v>144.68874323200001</v>
      </c>
      <c r="F98">
        <v>550.06392331799998</v>
      </c>
      <c r="G98">
        <v>527.29003679599998</v>
      </c>
      <c r="H98">
        <v>692.78027885300003</v>
      </c>
      <c r="I98">
        <v>707.96286986799998</v>
      </c>
      <c r="J98">
        <v>-722.23720369</v>
      </c>
      <c r="K98">
        <v>-722.23720369</v>
      </c>
      <c r="L98">
        <v>-720.71894458999998</v>
      </c>
      <c r="M98">
        <v>-722.23720369</v>
      </c>
    </row>
    <row r="99" spans="1:13" x14ac:dyDescent="0.2">
      <c r="A99" t="s">
        <v>28</v>
      </c>
      <c r="B99">
        <v>135.57918862400001</v>
      </c>
      <c r="C99">
        <v>103.695747493</v>
      </c>
      <c r="D99">
        <v>129.50615221800001</v>
      </c>
      <c r="E99">
        <v>117.360079406</v>
      </c>
      <c r="F99">
        <v>923.55566227300005</v>
      </c>
      <c r="G99">
        <v>950.88432609899996</v>
      </c>
      <c r="H99">
        <v>773.24801122999997</v>
      </c>
      <c r="I99">
        <v>847.64270720100001</v>
      </c>
      <c r="J99">
        <v>-722.23720369</v>
      </c>
      <c r="K99">
        <v>-722.23720369</v>
      </c>
      <c r="L99">
        <v>-722.23720369</v>
      </c>
      <c r="M99">
        <v>-722.23720369</v>
      </c>
    </row>
    <row r="100" spans="1:13" x14ac:dyDescent="0.2">
      <c r="A100" t="s">
        <v>29</v>
      </c>
      <c r="B100">
        <v>42.965383435500001</v>
      </c>
      <c r="C100">
        <v>12.6002014066</v>
      </c>
      <c r="D100">
        <v>184.16347987</v>
      </c>
      <c r="E100">
        <v>208.45562549300001</v>
      </c>
      <c r="F100">
        <v>985.80428543200003</v>
      </c>
      <c r="G100">
        <v>1005.54165375</v>
      </c>
      <c r="H100">
        <v>553.10044152099999</v>
      </c>
      <c r="I100">
        <v>540.95436870900005</v>
      </c>
      <c r="J100">
        <v>-723.75546279000002</v>
      </c>
      <c r="K100">
        <v>-725.27372190000006</v>
      </c>
      <c r="L100">
        <v>-723.75546279000002</v>
      </c>
      <c r="M100">
        <v>-722.23720369</v>
      </c>
    </row>
    <row r="102" spans="1:13" x14ac:dyDescent="0.2">
      <c r="A102" t="s">
        <v>0</v>
      </c>
    </row>
    <row r="103" spans="1:13" x14ac:dyDescent="0.2">
      <c r="A103" t="s">
        <v>1</v>
      </c>
      <c r="B103" t="s">
        <v>2</v>
      </c>
      <c r="C103" t="s">
        <v>3</v>
      </c>
      <c r="D103" t="s">
        <v>4</v>
      </c>
      <c r="E103" t="s">
        <v>5</v>
      </c>
      <c r="F103" t="s">
        <v>6</v>
      </c>
      <c r="G103" t="s">
        <v>7</v>
      </c>
      <c r="H103" t="s">
        <v>8</v>
      </c>
      <c r="I103" t="s">
        <v>9</v>
      </c>
    </row>
    <row r="104" spans="1:13" x14ac:dyDescent="0.2">
      <c r="A104">
        <v>1</v>
      </c>
      <c r="B104">
        <v>1</v>
      </c>
      <c r="C104" t="str">
        <f>""</f>
        <v/>
      </c>
      <c r="D104" t="s">
        <v>49</v>
      </c>
      <c r="E104" t="s">
        <v>11</v>
      </c>
      <c r="F104" t="s">
        <v>11</v>
      </c>
      <c r="G104" t="s">
        <v>11</v>
      </c>
      <c r="H104" t="s">
        <v>11</v>
      </c>
      <c r="I104" s="1">
        <v>44216.519884259258</v>
      </c>
    </row>
    <row r="106" spans="1:13" x14ac:dyDescent="0.2">
      <c r="A106" t="s">
        <v>12</v>
      </c>
    </row>
    <row r="107" spans="1:13" x14ac:dyDescent="0.2">
      <c r="A107" t="s">
        <v>1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</row>
    <row r="108" spans="1:13" x14ac:dyDescent="0.2">
      <c r="A108">
        <v>1</v>
      </c>
      <c r="B108" t="s">
        <v>19</v>
      </c>
      <c r="C108">
        <v>0</v>
      </c>
      <c r="D108">
        <v>307868</v>
      </c>
      <c r="E108">
        <v>9</v>
      </c>
      <c r="F108" s="2">
        <v>0</v>
      </c>
      <c r="G108" t="s">
        <v>20</v>
      </c>
    </row>
    <row r="110" spans="1:13" x14ac:dyDescent="0.2">
      <c r="A110" t="s">
        <v>50</v>
      </c>
    </row>
    <row r="111" spans="1:13" x14ac:dyDescent="0.2"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</row>
    <row r="112" spans="1:13" x14ac:dyDescent="0.2">
      <c r="A112" t="s">
        <v>22</v>
      </c>
      <c r="B112">
        <v>2.8437990112899998</v>
      </c>
      <c r="C112">
        <v>2.8437990112899998</v>
      </c>
      <c r="D112">
        <v>0</v>
      </c>
      <c r="E112">
        <v>0</v>
      </c>
      <c r="F112">
        <v>2.2447834323400002</v>
      </c>
      <c r="G112">
        <v>2.2447834323400002</v>
      </c>
      <c r="H112">
        <v>1.8823795806600001</v>
      </c>
      <c r="I112">
        <v>1.8823795806600001</v>
      </c>
      <c r="J112">
        <v>0</v>
      </c>
      <c r="K112">
        <v>0</v>
      </c>
      <c r="L112">
        <v>1.7343024010799999</v>
      </c>
      <c r="M112">
        <v>1.7343024010799999</v>
      </c>
    </row>
    <row r="113" spans="1:13" x14ac:dyDescent="0.2">
      <c r="A113" t="s">
        <v>23</v>
      </c>
      <c r="B113">
        <v>2.82364129205</v>
      </c>
      <c r="C113">
        <v>2.82364129205</v>
      </c>
      <c r="D113">
        <v>0.28284271246999998</v>
      </c>
      <c r="E113">
        <v>0.28284271246999998</v>
      </c>
      <c r="F113">
        <v>0.55027765073000001</v>
      </c>
      <c r="G113">
        <v>0.55027765073000001</v>
      </c>
      <c r="H113">
        <v>7.9494860170000001E-2</v>
      </c>
      <c r="I113">
        <v>7.9494860170000001E-2</v>
      </c>
      <c r="J113">
        <v>0</v>
      </c>
      <c r="K113">
        <v>0</v>
      </c>
      <c r="L113">
        <v>1.7343024010799999</v>
      </c>
      <c r="M113">
        <v>1.7343024010799999</v>
      </c>
    </row>
    <row r="114" spans="1:13" x14ac:dyDescent="0.2">
      <c r="A114" t="s">
        <v>24</v>
      </c>
      <c r="B114">
        <v>0.88498971363000001</v>
      </c>
      <c r="C114">
        <v>0.88498971363000001</v>
      </c>
      <c r="D114">
        <v>2.5117306513200002</v>
      </c>
      <c r="E114">
        <v>2.5117306513200002</v>
      </c>
      <c r="F114">
        <v>1.3884284623600001</v>
      </c>
      <c r="G114">
        <v>1.3884284623600001</v>
      </c>
      <c r="H114">
        <v>3.5901668802</v>
      </c>
      <c r="I114">
        <v>3.5901668802</v>
      </c>
      <c r="J114">
        <v>1.7343024010799999</v>
      </c>
      <c r="K114">
        <v>1.7343024010799999</v>
      </c>
      <c r="L114">
        <v>1.7343024010799999</v>
      </c>
      <c r="M114">
        <v>1.7343024010799999</v>
      </c>
    </row>
    <row r="115" spans="1:13" x14ac:dyDescent="0.2">
      <c r="A115" t="s">
        <v>25</v>
      </c>
      <c r="B115">
        <v>2.2910676268199999</v>
      </c>
      <c r="C115">
        <v>2.2910676268199999</v>
      </c>
      <c r="D115">
        <v>1.8199568932900001</v>
      </c>
      <c r="E115">
        <v>1.8199568932900001</v>
      </c>
      <c r="F115">
        <v>0.36030918786999999</v>
      </c>
      <c r="G115">
        <v>0.36030918786999999</v>
      </c>
      <c r="H115">
        <v>1.4177579572700001</v>
      </c>
      <c r="I115">
        <v>1.4177579572700001</v>
      </c>
      <c r="J115">
        <v>1.7343024010799999</v>
      </c>
      <c r="K115">
        <v>1.7343024010799999</v>
      </c>
      <c r="L115">
        <v>1.7343024010799999</v>
      </c>
      <c r="M115">
        <v>1.7343024010799999</v>
      </c>
    </row>
    <row r="116" spans="1:13" x14ac:dyDescent="0.2">
      <c r="A116" t="s">
        <v>26</v>
      </c>
      <c r="B116">
        <v>1.9664615003999999</v>
      </c>
      <c r="C116">
        <v>1.9664615003999999</v>
      </c>
      <c r="D116">
        <v>2.46665156228</v>
      </c>
      <c r="E116">
        <v>2.46665156228</v>
      </c>
      <c r="F116">
        <v>2.1080305855199999</v>
      </c>
      <c r="G116">
        <v>2.1080305855199999</v>
      </c>
      <c r="H116">
        <v>1.70229410286</v>
      </c>
      <c r="I116">
        <v>1.70229410286</v>
      </c>
      <c r="J116">
        <v>1.7343024010799999</v>
      </c>
      <c r="K116">
        <v>1.7343024010799999</v>
      </c>
      <c r="L116">
        <v>1.7343024010799999</v>
      </c>
      <c r="M116">
        <v>1.7343024010799999</v>
      </c>
    </row>
    <row r="117" spans="1:13" x14ac:dyDescent="0.2">
      <c r="A117" t="s">
        <v>27</v>
      </c>
      <c r="B117">
        <v>2.7358298081600001</v>
      </c>
      <c r="C117">
        <v>2.7358298081600001</v>
      </c>
      <c r="D117">
        <v>0.57912103291000006</v>
      </c>
      <c r="E117">
        <v>0.57912103291000006</v>
      </c>
      <c r="F117">
        <v>1.2156563573400001</v>
      </c>
      <c r="G117">
        <v>1.2156563573400001</v>
      </c>
      <c r="H117">
        <v>0.72227454667000002</v>
      </c>
      <c r="I117">
        <v>0.72227454667000002</v>
      </c>
      <c r="J117">
        <v>1.7343024010799999</v>
      </c>
      <c r="K117">
        <v>1.7343024010799999</v>
      </c>
      <c r="L117">
        <v>1.7343024010799999</v>
      </c>
      <c r="M117">
        <v>1.7343024010799999</v>
      </c>
    </row>
    <row r="118" spans="1:13" x14ac:dyDescent="0.2">
      <c r="A118" t="s">
        <v>28</v>
      </c>
      <c r="B118">
        <v>2.4893952061900002</v>
      </c>
      <c r="C118">
        <v>2.4893952061900002</v>
      </c>
      <c r="D118">
        <v>0.94438301326999996</v>
      </c>
      <c r="E118">
        <v>0.94438301326999996</v>
      </c>
      <c r="F118">
        <v>1.1214028247900001</v>
      </c>
      <c r="G118">
        <v>1.1214028247900001</v>
      </c>
      <c r="H118">
        <v>3.2951243250700002</v>
      </c>
      <c r="I118">
        <v>3.2951243250700002</v>
      </c>
      <c r="J118">
        <v>1.7343024010799999</v>
      </c>
      <c r="K118">
        <v>1.7343024010799999</v>
      </c>
      <c r="L118">
        <v>1.7343024010799999</v>
      </c>
      <c r="M118">
        <v>1.7343024010799999</v>
      </c>
    </row>
    <row r="119" spans="1:13" x14ac:dyDescent="0.2">
      <c r="A119" t="s">
        <v>29</v>
      </c>
      <c r="B119">
        <v>2.6384581387599999</v>
      </c>
      <c r="C119">
        <v>2.6384581387599999</v>
      </c>
      <c r="D119">
        <v>1.7486411899500001</v>
      </c>
      <c r="E119">
        <v>1.7486411899500001</v>
      </c>
      <c r="F119">
        <v>0.78333090374000003</v>
      </c>
      <c r="G119">
        <v>0.78333090374000003</v>
      </c>
      <c r="H119">
        <v>0.64428863888999999</v>
      </c>
      <c r="I119">
        <v>0.64428863888999999</v>
      </c>
      <c r="J119">
        <v>1.7343024010799999</v>
      </c>
      <c r="K119">
        <v>1.7343024010799999</v>
      </c>
      <c r="L119">
        <v>1.7343024010799999</v>
      </c>
      <c r="M119">
        <v>1.7343024010799999</v>
      </c>
    </row>
    <row r="121" spans="1:13" x14ac:dyDescent="0.2">
      <c r="A121" t="s">
        <v>0</v>
      </c>
    </row>
    <row r="122" spans="1:13" x14ac:dyDescent="0.2">
      <c r="A122" t="s">
        <v>1</v>
      </c>
      <c r="B122" t="s">
        <v>2</v>
      </c>
      <c r="C122" t="s">
        <v>3</v>
      </c>
      <c r="D122" t="s">
        <v>4</v>
      </c>
      <c r="E122" t="s">
        <v>5</v>
      </c>
      <c r="F122" t="s">
        <v>6</v>
      </c>
      <c r="G122" t="s">
        <v>7</v>
      </c>
      <c r="H122" t="s">
        <v>8</v>
      </c>
      <c r="I122" t="s">
        <v>9</v>
      </c>
    </row>
    <row r="123" spans="1:13" x14ac:dyDescent="0.2">
      <c r="A123">
        <v>1</v>
      </c>
      <c r="B123">
        <v>1</v>
      </c>
      <c r="C123" t="str">
        <f>""</f>
        <v/>
      </c>
      <c r="D123" t="s">
        <v>51</v>
      </c>
      <c r="E123" t="s">
        <v>11</v>
      </c>
      <c r="F123" t="s">
        <v>11</v>
      </c>
      <c r="G123" t="s">
        <v>11</v>
      </c>
      <c r="H123" t="s">
        <v>11</v>
      </c>
      <c r="I123" s="1">
        <v>44216.519884259258</v>
      </c>
    </row>
    <row r="125" spans="1:13" x14ac:dyDescent="0.2">
      <c r="A125" t="s">
        <v>12</v>
      </c>
    </row>
    <row r="126" spans="1:13" x14ac:dyDescent="0.2">
      <c r="A126" t="s">
        <v>1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</row>
    <row r="128" spans="1:13" x14ac:dyDescent="0.2">
      <c r="A128" t="s">
        <v>52</v>
      </c>
    </row>
    <row r="129" spans="1:13" x14ac:dyDescent="0.2">
      <c r="B129">
        <v>1</v>
      </c>
      <c r="C129">
        <v>2</v>
      </c>
      <c r="D129">
        <v>3</v>
      </c>
      <c r="E129">
        <v>4</v>
      </c>
      <c r="F129">
        <v>5</v>
      </c>
      <c r="G129">
        <v>6</v>
      </c>
      <c r="H129">
        <v>7</v>
      </c>
      <c r="I129">
        <v>8</v>
      </c>
      <c r="J129">
        <v>9</v>
      </c>
      <c r="K129">
        <v>10</v>
      </c>
      <c r="L129">
        <v>11</v>
      </c>
      <c r="M129">
        <v>12</v>
      </c>
    </row>
    <row r="130" spans="1:13" x14ac:dyDescent="0.2">
      <c r="A130" t="s">
        <v>22</v>
      </c>
      <c r="B130">
        <v>2007.5926606999999</v>
      </c>
      <c r="C130">
        <v>2007.5926606999999</v>
      </c>
      <c r="D130">
        <v>-14.728462419</v>
      </c>
      <c r="E130">
        <v>-14.728462419</v>
      </c>
      <c r="F130">
        <v>983.52689678000002</v>
      </c>
      <c r="G130">
        <v>983.52689678000002</v>
      </c>
      <c r="H130">
        <v>982.00863767800001</v>
      </c>
      <c r="I130">
        <v>982.00863767800001</v>
      </c>
      <c r="J130">
        <v>540.95436870900005</v>
      </c>
      <c r="K130">
        <v>540.95436870900005</v>
      </c>
      <c r="L130">
        <v>-722.72521555000003</v>
      </c>
      <c r="M130">
        <v>-722.72521555000003</v>
      </c>
    </row>
    <row r="131" spans="1:13" x14ac:dyDescent="0.2">
      <c r="A131" t="s">
        <v>23</v>
      </c>
      <c r="B131">
        <v>1457.2237364299999</v>
      </c>
      <c r="C131">
        <v>1457.2237364299999</v>
      </c>
      <c r="D131">
        <v>-26.874535230999999</v>
      </c>
      <c r="E131">
        <v>-26.874535230999999</v>
      </c>
      <c r="F131">
        <v>774.76627033099999</v>
      </c>
      <c r="G131">
        <v>774.76627033099999</v>
      </c>
      <c r="H131">
        <v>564.48738478099995</v>
      </c>
      <c r="I131">
        <v>564.48738478099995</v>
      </c>
      <c r="J131">
        <v>334.47113091300002</v>
      </c>
      <c r="K131">
        <v>334.47113091300002</v>
      </c>
      <c r="L131">
        <v>-722.72521555000003</v>
      </c>
      <c r="M131">
        <v>-722.72521555000003</v>
      </c>
    </row>
    <row r="132" spans="1:13" x14ac:dyDescent="0.2">
      <c r="A132" t="s">
        <v>24</v>
      </c>
      <c r="B132">
        <v>1033.62944713</v>
      </c>
      <c r="C132">
        <v>1033.62944713</v>
      </c>
      <c r="D132">
        <v>197.06868223199999</v>
      </c>
      <c r="E132">
        <v>197.06868223199999</v>
      </c>
      <c r="F132">
        <v>837.77402304099996</v>
      </c>
      <c r="G132">
        <v>837.77402304099996</v>
      </c>
      <c r="H132">
        <v>589.53865995499996</v>
      </c>
      <c r="I132">
        <v>589.53865995499996</v>
      </c>
      <c r="J132">
        <v>-722.72521555000003</v>
      </c>
      <c r="K132">
        <v>-722.72521555000003</v>
      </c>
      <c r="L132">
        <v>-722.72521555000003</v>
      </c>
      <c r="M132">
        <v>-722.72521555000003</v>
      </c>
    </row>
    <row r="133" spans="1:13" x14ac:dyDescent="0.2">
      <c r="A133" t="s">
        <v>25</v>
      </c>
      <c r="B133">
        <v>760.34280886800002</v>
      </c>
      <c r="C133">
        <v>760.34280886800002</v>
      </c>
      <c r="D133">
        <v>216.806050551</v>
      </c>
      <c r="E133">
        <v>216.806050551</v>
      </c>
      <c r="F133">
        <v>405.82930868099999</v>
      </c>
      <c r="G133">
        <v>405.82930868099999</v>
      </c>
      <c r="H133">
        <v>425.56667699899998</v>
      </c>
      <c r="I133">
        <v>425.56667699899998</v>
      </c>
      <c r="J133">
        <v>-722.72521555000003</v>
      </c>
      <c r="K133">
        <v>-722.72521555000003</v>
      </c>
      <c r="L133">
        <v>-722.72521555000003</v>
      </c>
      <c r="M133">
        <v>-722.72521555000003</v>
      </c>
    </row>
    <row r="134" spans="1:13" x14ac:dyDescent="0.2">
      <c r="A134" t="s">
        <v>26</v>
      </c>
      <c r="B134">
        <v>524.25351859299997</v>
      </c>
      <c r="C134">
        <v>524.25351859299997</v>
      </c>
      <c r="D134">
        <v>258.55817584099998</v>
      </c>
      <c r="E134">
        <v>258.55817584099998</v>
      </c>
      <c r="F134">
        <v>385.332810811</v>
      </c>
      <c r="G134">
        <v>385.332810811</v>
      </c>
      <c r="H134">
        <v>853.71574360600005</v>
      </c>
      <c r="I134">
        <v>853.71574360600005</v>
      </c>
      <c r="J134">
        <v>-722.72521555000003</v>
      </c>
      <c r="K134">
        <v>-722.72521555000003</v>
      </c>
      <c r="L134">
        <v>-722.72521555000003</v>
      </c>
      <c r="M134">
        <v>-722.72521555000003</v>
      </c>
    </row>
    <row r="135" spans="1:13" x14ac:dyDescent="0.2">
      <c r="A135" t="s">
        <v>27</v>
      </c>
      <c r="B135">
        <v>234.26603021700001</v>
      </c>
      <c r="C135">
        <v>234.26603021700001</v>
      </c>
      <c r="D135">
        <v>140.89309547900001</v>
      </c>
      <c r="E135">
        <v>140.89309547900001</v>
      </c>
      <c r="F135">
        <v>538.67698005700004</v>
      </c>
      <c r="G135">
        <v>538.67698005700004</v>
      </c>
      <c r="H135">
        <v>700.37157436099994</v>
      </c>
      <c r="I135">
        <v>700.37157436099994</v>
      </c>
      <c r="J135">
        <v>-722.72521555000003</v>
      </c>
      <c r="K135">
        <v>-722.72521555000003</v>
      </c>
      <c r="L135">
        <v>-722.72521555000003</v>
      </c>
      <c r="M135">
        <v>-722.72521555000003</v>
      </c>
    </row>
    <row r="136" spans="1:13" x14ac:dyDescent="0.2">
      <c r="A136" t="s">
        <v>28</v>
      </c>
      <c r="B136">
        <v>119.637468058</v>
      </c>
      <c r="C136">
        <v>119.637468058</v>
      </c>
      <c r="D136">
        <v>123.433115812</v>
      </c>
      <c r="E136">
        <v>123.433115812</v>
      </c>
      <c r="F136">
        <v>937.21999418600001</v>
      </c>
      <c r="G136">
        <v>937.21999418600001</v>
      </c>
      <c r="H136">
        <v>810.44535921500005</v>
      </c>
      <c r="I136">
        <v>810.44535921500005</v>
      </c>
      <c r="J136">
        <v>-722.72521555000003</v>
      </c>
      <c r="K136">
        <v>-722.72521555000003</v>
      </c>
      <c r="L136">
        <v>-722.72521555000003</v>
      </c>
      <c r="M136">
        <v>-722.72521555000003</v>
      </c>
    </row>
    <row r="137" spans="1:13" x14ac:dyDescent="0.2">
      <c r="A137" t="s">
        <v>29</v>
      </c>
      <c r="B137">
        <v>27.782792421100002</v>
      </c>
      <c r="C137">
        <v>27.782792421100002</v>
      </c>
      <c r="D137">
        <v>196.30955268100001</v>
      </c>
      <c r="E137">
        <v>196.30955268100001</v>
      </c>
      <c r="F137">
        <v>995.67296959099997</v>
      </c>
      <c r="G137">
        <v>995.67296959099997</v>
      </c>
      <c r="H137">
        <v>547.02740511499997</v>
      </c>
      <c r="I137">
        <v>547.02740511499997</v>
      </c>
      <c r="J137">
        <v>-722.72521555000003</v>
      </c>
      <c r="K137">
        <v>-722.72521555000003</v>
      </c>
      <c r="L137">
        <v>-722.72521555000003</v>
      </c>
      <c r="M137">
        <v>-722.72521555000003</v>
      </c>
    </row>
    <row r="139" spans="1:13" x14ac:dyDescent="0.2">
      <c r="A139" t="s">
        <v>0</v>
      </c>
    </row>
    <row r="140" spans="1:13" x14ac:dyDescent="0.2">
      <c r="A140" t="s">
        <v>1</v>
      </c>
      <c r="B140" t="s">
        <v>2</v>
      </c>
      <c r="C140" t="s">
        <v>3</v>
      </c>
      <c r="D140" t="s">
        <v>5</v>
      </c>
      <c r="E140" t="s">
        <v>6</v>
      </c>
      <c r="F140" t="s">
        <v>7</v>
      </c>
      <c r="G140" t="s">
        <v>8</v>
      </c>
      <c r="H140" t="s">
        <v>53</v>
      </c>
      <c r="I140" t="s">
        <v>54</v>
      </c>
      <c r="J140" t="s">
        <v>55</v>
      </c>
      <c r="K140" t="s">
        <v>56</v>
      </c>
      <c r="L140" t="s">
        <v>57</v>
      </c>
      <c r="M140" t="s">
        <v>9</v>
      </c>
    </row>
    <row r="141" spans="1:13" x14ac:dyDescent="0.2">
      <c r="A141">
        <v>1</v>
      </c>
      <c r="B141">
        <v>1</v>
      </c>
      <c r="C141" t="str">
        <f>""</f>
        <v/>
      </c>
      <c r="D141">
        <v>27.9</v>
      </c>
      <c r="E141">
        <v>27.8</v>
      </c>
      <c r="F141">
        <v>25.9</v>
      </c>
      <c r="G141">
        <v>25.9</v>
      </c>
      <c r="H141" t="s">
        <v>19</v>
      </c>
      <c r="I141">
        <v>0</v>
      </c>
      <c r="J141">
        <v>0</v>
      </c>
      <c r="K141" t="s">
        <v>20</v>
      </c>
      <c r="L141">
        <v>1</v>
      </c>
      <c r="M141" s="1">
        <v>44216.519884259258</v>
      </c>
    </row>
    <row r="143" spans="1:13" x14ac:dyDescent="0.2">
      <c r="A143" t="s">
        <v>12</v>
      </c>
    </row>
    <row r="144" spans="1:13" x14ac:dyDescent="0.2">
      <c r="A144" t="s">
        <v>1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</row>
    <row r="145" spans="1:13" x14ac:dyDescent="0.2">
      <c r="A145">
        <v>1</v>
      </c>
      <c r="B145" t="s">
        <v>19</v>
      </c>
      <c r="C145">
        <v>0</v>
      </c>
      <c r="D145">
        <v>307868</v>
      </c>
      <c r="E145">
        <v>9</v>
      </c>
      <c r="F145" s="2">
        <v>0</v>
      </c>
      <c r="G145" t="s">
        <v>20</v>
      </c>
    </row>
    <row r="147" spans="1:13" x14ac:dyDescent="0.2">
      <c r="A147" t="s">
        <v>58</v>
      </c>
    </row>
    <row r="148" spans="1:13" x14ac:dyDescent="0.2">
      <c r="B148">
        <v>1</v>
      </c>
      <c r="C148">
        <v>2</v>
      </c>
      <c r="D148">
        <v>3</v>
      </c>
      <c r="E148">
        <v>4</v>
      </c>
      <c r="F148">
        <v>5</v>
      </c>
      <c r="G148">
        <v>6</v>
      </c>
      <c r="H148">
        <v>7</v>
      </c>
      <c r="I148">
        <v>8</v>
      </c>
      <c r="J148">
        <v>9</v>
      </c>
      <c r="K148">
        <v>10</v>
      </c>
      <c r="L148">
        <v>11</v>
      </c>
      <c r="M148">
        <v>12</v>
      </c>
    </row>
    <row r="149" spans="1:13" x14ac:dyDescent="0.2">
      <c r="A149" t="s">
        <v>22</v>
      </c>
      <c r="B149">
        <v>1.877</v>
      </c>
      <c r="C149">
        <v>1.8029999999999999</v>
      </c>
      <c r="D149">
        <v>0.50800000000000001</v>
      </c>
      <c r="E149">
        <v>0.50800000000000001</v>
      </c>
      <c r="F149">
        <v>1.1839999999999999</v>
      </c>
      <c r="G149">
        <v>1.147</v>
      </c>
      <c r="H149">
        <v>1.149</v>
      </c>
      <c r="I149">
        <v>1.18</v>
      </c>
      <c r="J149">
        <v>0.874</v>
      </c>
      <c r="K149">
        <v>0.874</v>
      </c>
      <c r="L149">
        <v>4.1000000000000002E-2</v>
      </c>
      <c r="M149">
        <v>4.1000000000000002E-2</v>
      </c>
    </row>
    <row r="150" spans="1:13" x14ac:dyDescent="0.2">
      <c r="A150" t="s">
        <v>23</v>
      </c>
      <c r="B150">
        <v>1.5069999999999999</v>
      </c>
      <c r="C150">
        <v>1.448</v>
      </c>
      <c r="D150">
        <v>0.501</v>
      </c>
      <c r="E150">
        <v>0.499</v>
      </c>
      <c r="F150">
        <v>1.032</v>
      </c>
      <c r="G150">
        <v>1.024</v>
      </c>
      <c r="H150">
        <v>0.88900000000000001</v>
      </c>
      <c r="I150">
        <v>0.89</v>
      </c>
      <c r="J150">
        <v>0.73799999999999999</v>
      </c>
      <c r="K150">
        <v>0.73799999999999999</v>
      </c>
      <c r="L150">
        <v>4.2000000000000003E-2</v>
      </c>
      <c r="M150">
        <v>4.1000000000000002E-2</v>
      </c>
    </row>
    <row r="151" spans="1:13" x14ac:dyDescent="0.2">
      <c r="A151" t="s">
        <v>24</v>
      </c>
      <c r="B151">
        <v>1.206</v>
      </c>
      <c r="C151">
        <v>1.1910000000000001</v>
      </c>
      <c r="D151">
        <v>0.63600000000000001</v>
      </c>
      <c r="E151">
        <v>0.65900000000000003</v>
      </c>
      <c r="F151">
        <v>1.08</v>
      </c>
      <c r="G151">
        <v>1.0589999999999999</v>
      </c>
      <c r="H151">
        <v>0.88300000000000001</v>
      </c>
      <c r="I151">
        <v>0.92900000000000005</v>
      </c>
      <c r="J151">
        <v>4.2000000000000003E-2</v>
      </c>
      <c r="K151">
        <v>4.2000000000000003E-2</v>
      </c>
      <c r="L151">
        <v>4.1000000000000002E-2</v>
      </c>
      <c r="M151">
        <v>4.1000000000000002E-2</v>
      </c>
    </row>
    <row r="152" spans="1:13" x14ac:dyDescent="0.2">
      <c r="A152" t="s">
        <v>25</v>
      </c>
      <c r="B152">
        <v>1.0349999999999999</v>
      </c>
      <c r="C152">
        <v>1.002</v>
      </c>
      <c r="D152">
        <v>0.66900000000000004</v>
      </c>
      <c r="E152">
        <v>0.65200000000000002</v>
      </c>
      <c r="F152">
        <v>0.78300000000000003</v>
      </c>
      <c r="G152">
        <v>0.78700000000000003</v>
      </c>
      <c r="H152">
        <v>0.79</v>
      </c>
      <c r="I152">
        <v>0.80600000000000005</v>
      </c>
      <c r="J152">
        <v>4.2000000000000003E-2</v>
      </c>
      <c r="K152">
        <v>4.2000000000000003E-2</v>
      </c>
      <c r="L152">
        <v>4.1000000000000002E-2</v>
      </c>
      <c r="M152">
        <v>4.1000000000000002E-2</v>
      </c>
    </row>
    <row r="153" spans="1:13" x14ac:dyDescent="0.2">
      <c r="A153" t="s">
        <v>26</v>
      </c>
      <c r="B153">
        <v>0.875</v>
      </c>
      <c r="C153">
        <v>0.85099999999999998</v>
      </c>
      <c r="D153">
        <v>0.67600000000000005</v>
      </c>
      <c r="E153">
        <v>0.7</v>
      </c>
      <c r="F153">
        <v>0.78300000000000003</v>
      </c>
      <c r="G153">
        <v>0.76</v>
      </c>
      <c r="H153">
        <v>1.093</v>
      </c>
      <c r="I153">
        <v>1.0669999999999999</v>
      </c>
      <c r="J153">
        <v>4.2999999999999997E-2</v>
      </c>
      <c r="K153">
        <v>4.2999999999999997E-2</v>
      </c>
      <c r="L153">
        <v>4.2000000000000003E-2</v>
      </c>
      <c r="M153">
        <v>4.1000000000000002E-2</v>
      </c>
    </row>
    <row r="154" spans="1:13" x14ac:dyDescent="0.2">
      <c r="A154" t="s">
        <v>27</v>
      </c>
      <c r="B154">
        <v>0.68500000000000005</v>
      </c>
      <c r="C154">
        <v>0.65900000000000003</v>
      </c>
      <c r="D154">
        <v>0.60799999999999998</v>
      </c>
      <c r="E154">
        <v>0.61299999999999999</v>
      </c>
      <c r="F154">
        <v>0.88</v>
      </c>
      <c r="G154">
        <v>0.86499999999999999</v>
      </c>
      <c r="H154">
        <v>0.97399999999999998</v>
      </c>
      <c r="I154">
        <v>0.98399999999999999</v>
      </c>
      <c r="J154">
        <v>4.2000000000000003E-2</v>
      </c>
      <c r="K154">
        <v>4.2000000000000003E-2</v>
      </c>
      <c r="L154">
        <v>4.2999999999999997E-2</v>
      </c>
      <c r="M154">
        <v>4.2000000000000003E-2</v>
      </c>
    </row>
    <row r="155" spans="1:13" x14ac:dyDescent="0.2">
      <c r="A155" t="s">
        <v>28</v>
      </c>
      <c r="B155">
        <v>0.60699999999999998</v>
      </c>
      <c r="C155">
        <v>0.58599999999999997</v>
      </c>
      <c r="D155">
        <v>0.60299999999999998</v>
      </c>
      <c r="E155">
        <v>0.59499999999999997</v>
      </c>
      <c r="F155">
        <v>1.1259999999999999</v>
      </c>
      <c r="G155">
        <v>1.1439999999999999</v>
      </c>
      <c r="H155">
        <v>1.0269999999999999</v>
      </c>
      <c r="I155">
        <v>1.0760000000000001</v>
      </c>
      <c r="J155">
        <v>4.2000000000000003E-2</v>
      </c>
      <c r="K155">
        <v>4.2000000000000003E-2</v>
      </c>
      <c r="L155">
        <v>4.2000000000000003E-2</v>
      </c>
      <c r="M155">
        <v>4.2000000000000003E-2</v>
      </c>
    </row>
    <row r="156" spans="1:13" x14ac:dyDescent="0.2">
      <c r="A156" t="s">
        <v>29</v>
      </c>
      <c r="B156">
        <v>0.54600000000000004</v>
      </c>
      <c r="C156">
        <v>0.52600000000000002</v>
      </c>
      <c r="D156">
        <v>0.63900000000000001</v>
      </c>
      <c r="E156">
        <v>0.65500000000000003</v>
      </c>
      <c r="F156">
        <v>1.167</v>
      </c>
      <c r="G156">
        <v>1.18</v>
      </c>
      <c r="H156">
        <v>0.88200000000000001</v>
      </c>
      <c r="I156">
        <v>0.874</v>
      </c>
      <c r="J156">
        <v>4.1000000000000002E-2</v>
      </c>
      <c r="K156">
        <v>0.04</v>
      </c>
      <c r="L156">
        <v>4.1000000000000002E-2</v>
      </c>
      <c r="M156">
        <v>4.2000000000000003E-2</v>
      </c>
    </row>
    <row r="159" spans="1:13" x14ac:dyDescent="0.2">
      <c r="A159" t="s">
        <v>59</v>
      </c>
    </row>
    <row r="160" spans="1:13" x14ac:dyDescent="0.2">
      <c r="A160" t="s">
        <v>60</v>
      </c>
      <c r="E160">
        <v>1693</v>
      </c>
    </row>
    <row r="161" spans="1:5" x14ac:dyDescent="0.2">
      <c r="A161" t="s">
        <v>61</v>
      </c>
      <c r="E161" s="1">
        <v>44216.519386574073</v>
      </c>
    </row>
    <row r="162" spans="1:5" x14ac:dyDescent="0.2">
      <c r="A162" t="s">
        <v>62</v>
      </c>
      <c r="E162" s="1">
        <v>44216.520208333335</v>
      </c>
    </row>
    <row r="163" spans="1:5" x14ac:dyDescent="0.2">
      <c r="A163" t="s">
        <v>63</v>
      </c>
      <c r="E163" s="1">
        <v>44216.552974537037</v>
      </c>
    </row>
    <row r="164" spans="1:5" x14ac:dyDescent="0.2">
      <c r="A164" t="s">
        <v>64</v>
      </c>
      <c r="E164" t="s">
        <v>11</v>
      </c>
    </row>
    <row r="165" spans="1:5" x14ac:dyDescent="0.2">
      <c r="A165" t="s">
        <v>65</v>
      </c>
      <c r="E165">
        <v>100175</v>
      </c>
    </row>
    <row r="166" spans="1:5" x14ac:dyDescent="0.2">
      <c r="A166" t="s">
        <v>66</v>
      </c>
      <c r="E166" t="s">
        <v>67</v>
      </c>
    </row>
    <row r="167" spans="1:5" x14ac:dyDescent="0.2">
      <c r="A167" t="s">
        <v>68</v>
      </c>
      <c r="E167" t="str">
        <f>"23000584"</f>
        <v>23000584</v>
      </c>
    </row>
    <row r="171" spans="1:5" x14ac:dyDescent="0.2">
      <c r="A171" t="s">
        <v>69</v>
      </c>
    </row>
    <row r="172" spans="1:5" x14ac:dyDescent="0.2">
      <c r="A172" t="s">
        <v>70</v>
      </c>
    </row>
    <row r="173" spans="1:5" x14ac:dyDescent="0.2">
      <c r="A173" t="s">
        <v>71</v>
      </c>
      <c r="E173" t="s">
        <v>67</v>
      </c>
    </row>
    <row r="174" spans="1:5" x14ac:dyDescent="0.2">
      <c r="A174" t="s">
        <v>72</v>
      </c>
      <c r="E174">
        <v>1</v>
      </c>
    </row>
    <row r="175" spans="1:5" x14ac:dyDescent="0.2">
      <c r="A175" t="s">
        <v>73</v>
      </c>
      <c r="E175" t="s">
        <v>11</v>
      </c>
    </row>
    <row r="176" spans="1:5" x14ac:dyDescent="0.2">
      <c r="A176" t="s">
        <v>74</v>
      </c>
      <c r="E176">
        <v>1</v>
      </c>
    </row>
    <row r="177" spans="1:5" x14ac:dyDescent="0.2">
      <c r="A177" t="s">
        <v>75</v>
      </c>
      <c r="E177" t="s">
        <v>11</v>
      </c>
    </row>
    <row r="178" spans="1:5" x14ac:dyDescent="0.2">
      <c r="A178" t="s">
        <v>76</v>
      </c>
      <c r="E178" t="s">
        <v>77</v>
      </c>
    </row>
    <row r="179" spans="1:5" x14ac:dyDescent="0.2">
      <c r="A179" t="s">
        <v>78</v>
      </c>
      <c r="E179" t="s">
        <v>40</v>
      </c>
    </row>
    <row r="180" spans="1:5" x14ac:dyDescent="0.2">
      <c r="A180" t="s">
        <v>79</v>
      </c>
      <c r="E180" t="s">
        <v>40</v>
      </c>
    </row>
    <row r="181" spans="1:5" x14ac:dyDescent="0.2">
      <c r="A181" t="s">
        <v>80</v>
      </c>
      <c r="E181" t="s">
        <v>81</v>
      </c>
    </row>
    <row r="183" spans="1:5" x14ac:dyDescent="0.2">
      <c r="A183" t="s">
        <v>82</v>
      </c>
    </row>
    <row r="184" spans="1:5" x14ac:dyDescent="0.2">
      <c r="A184" t="s">
        <v>83</v>
      </c>
      <c r="E184" t="s">
        <v>84</v>
      </c>
    </row>
    <row r="185" spans="1:5" x14ac:dyDescent="0.2">
      <c r="A185" t="s">
        <v>85</v>
      </c>
      <c r="E185">
        <v>8</v>
      </c>
    </row>
    <row r="186" spans="1:5" x14ac:dyDescent="0.2">
      <c r="A186" t="s">
        <v>86</v>
      </c>
      <c r="E186">
        <v>12</v>
      </c>
    </row>
    <row r="187" spans="1:5" x14ac:dyDescent="0.2">
      <c r="A187" t="s">
        <v>87</v>
      </c>
      <c r="E187">
        <v>96</v>
      </c>
    </row>
    <row r="188" spans="1:5" x14ac:dyDescent="0.2">
      <c r="A188" t="s">
        <v>88</v>
      </c>
      <c r="E188" t="s">
        <v>89</v>
      </c>
    </row>
    <row r="189" spans="1:5" x14ac:dyDescent="0.2">
      <c r="A189" t="s">
        <v>90</v>
      </c>
      <c r="E189" t="s">
        <v>91</v>
      </c>
    </row>
    <row r="190" spans="1:5" x14ac:dyDescent="0.2">
      <c r="A190" t="s">
        <v>92</v>
      </c>
      <c r="E190" t="s">
        <v>93</v>
      </c>
    </row>
    <row r="192" spans="1:5" x14ac:dyDescent="0.2">
      <c r="A192" t="s">
        <v>94</v>
      </c>
    </row>
    <row r="193" spans="1:13" x14ac:dyDescent="0.2">
      <c r="A193" t="s">
        <v>84</v>
      </c>
    </row>
    <row r="194" spans="1:13" x14ac:dyDescent="0.2">
      <c r="A194" t="s">
        <v>95</v>
      </c>
    </row>
    <row r="195" spans="1:13" x14ac:dyDescent="0.2">
      <c r="A195" t="s">
        <v>96</v>
      </c>
    </row>
    <row r="197" spans="1:13" x14ac:dyDescent="0.2">
      <c r="A197" t="s">
        <v>95</v>
      </c>
    </row>
    <row r="198" spans="1:13" x14ac:dyDescent="0.2">
      <c r="A198" t="s">
        <v>97</v>
      </c>
    </row>
    <row r="200" spans="1:13" x14ac:dyDescent="0.2">
      <c r="A200" t="s">
        <v>98</v>
      </c>
    </row>
    <row r="201" spans="1:13" x14ac:dyDescent="0.2">
      <c r="A201" t="s">
        <v>1</v>
      </c>
      <c r="E201">
        <v>1</v>
      </c>
    </row>
    <row r="203" spans="1:13" x14ac:dyDescent="0.2">
      <c r="B203">
        <v>1</v>
      </c>
      <c r="C203">
        <v>2</v>
      </c>
      <c r="D203">
        <v>3</v>
      </c>
      <c r="E203">
        <v>4</v>
      </c>
      <c r="F203">
        <v>5</v>
      </c>
      <c r="G203">
        <v>6</v>
      </c>
      <c r="H203">
        <v>7</v>
      </c>
      <c r="I203">
        <v>8</v>
      </c>
      <c r="J203">
        <v>9</v>
      </c>
      <c r="K203">
        <v>10</v>
      </c>
      <c r="L203">
        <v>11</v>
      </c>
      <c r="M203">
        <v>12</v>
      </c>
    </row>
    <row r="204" spans="1:13" x14ac:dyDescent="0.2">
      <c r="A204" t="s">
        <v>22</v>
      </c>
      <c r="B204" t="s">
        <v>99</v>
      </c>
      <c r="C204" t="s">
        <v>99</v>
      </c>
      <c r="D204" t="s">
        <v>100</v>
      </c>
      <c r="E204" t="s">
        <v>100</v>
      </c>
      <c r="F204" t="s">
        <v>101</v>
      </c>
      <c r="G204" t="s">
        <v>101</v>
      </c>
      <c r="H204" t="s">
        <v>102</v>
      </c>
      <c r="I204" t="s">
        <v>102</v>
      </c>
      <c r="J204" t="s">
        <v>103</v>
      </c>
      <c r="K204" t="s">
        <v>103</v>
      </c>
      <c r="L204" t="s">
        <v>104</v>
      </c>
      <c r="M204" t="s">
        <v>104</v>
      </c>
    </row>
    <row r="205" spans="1:13" x14ac:dyDescent="0.2">
      <c r="A205" t="s">
        <v>23</v>
      </c>
      <c r="B205" t="s">
        <v>105</v>
      </c>
      <c r="C205" t="s">
        <v>105</v>
      </c>
      <c r="D205" t="s">
        <v>106</v>
      </c>
      <c r="E205" t="s">
        <v>106</v>
      </c>
      <c r="F205" t="s">
        <v>107</v>
      </c>
      <c r="G205" t="s">
        <v>107</v>
      </c>
      <c r="H205" t="s">
        <v>108</v>
      </c>
      <c r="I205" t="s">
        <v>108</v>
      </c>
      <c r="J205" t="s">
        <v>109</v>
      </c>
      <c r="K205" t="s">
        <v>109</v>
      </c>
      <c r="L205" t="s">
        <v>104</v>
      </c>
      <c r="M205" t="s">
        <v>104</v>
      </c>
    </row>
    <row r="206" spans="1:13" x14ac:dyDescent="0.2">
      <c r="A206" t="s">
        <v>24</v>
      </c>
      <c r="B206" t="s">
        <v>110</v>
      </c>
      <c r="C206" t="s">
        <v>110</v>
      </c>
      <c r="D206" t="s">
        <v>111</v>
      </c>
      <c r="E206" t="s">
        <v>111</v>
      </c>
      <c r="F206" t="s">
        <v>112</v>
      </c>
      <c r="G206" t="s">
        <v>112</v>
      </c>
      <c r="H206" t="s">
        <v>113</v>
      </c>
      <c r="I206" t="s">
        <v>113</v>
      </c>
      <c r="J206" t="s">
        <v>104</v>
      </c>
      <c r="K206" t="s">
        <v>104</v>
      </c>
      <c r="L206" t="s">
        <v>104</v>
      </c>
      <c r="M206" t="s">
        <v>104</v>
      </c>
    </row>
    <row r="207" spans="1:13" x14ac:dyDescent="0.2">
      <c r="A207" t="s">
        <v>25</v>
      </c>
      <c r="B207" t="s">
        <v>114</v>
      </c>
      <c r="C207" t="s">
        <v>114</v>
      </c>
      <c r="D207" t="s">
        <v>115</v>
      </c>
      <c r="E207" t="s">
        <v>115</v>
      </c>
      <c r="F207" t="s">
        <v>116</v>
      </c>
      <c r="G207" t="s">
        <v>116</v>
      </c>
      <c r="H207" t="s">
        <v>117</v>
      </c>
      <c r="I207" t="s">
        <v>117</v>
      </c>
      <c r="J207" t="s">
        <v>104</v>
      </c>
      <c r="K207" t="s">
        <v>104</v>
      </c>
      <c r="L207" t="s">
        <v>104</v>
      </c>
      <c r="M207" t="s">
        <v>104</v>
      </c>
    </row>
    <row r="208" spans="1:13" x14ac:dyDescent="0.2">
      <c r="A208" t="s">
        <v>26</v>
      </c>
      <c r="B208" t="s">
        <v>118</v>
      </c>
      <c r="C208" t="s">
        <v>118</v>
      </c>
      <c r="D208" t="s">
        <v>119</v>
      </c>
      <c r="E208" t="s">
        <v>119</v>
      </c>
      <c r="F208" t="s">
        <v>120</v>
      </c>
      <c r="G208" t="s">
        <v>120</v>
      </c>
      <c r="H208" t="s">
        <v>121</v>
      </c>
      <c r="I208" t="s">
        <v>121</v>
      </c>
      <c r="J208" t="s">
        <v>104</v>
      </c>
      <c r="K208" t="s">
        <v>104</v>
      </c>
      <c r="L208" t="s">
        <v>104</v>
      </c>
      <c r="M208" t="s">
        <v>104</v>
      </c>
    </row>
    <row r="209" spans="1:13" x14ac:dyDescent="0.2">
      <c r="A209" t="s">
        <v>27</v>
      </c>
      <c r="B209" t="s">
        <v>122</v>
      </c>
      <c r="C209" t="s">
        <v>122</v>
      </c>
      <c r="D209" t="s">
        <v>123</v>
      </c>
      <c r="E209" t="s">
        <v>123</v>
      </c>
      <c r="F209" t="s">
        <v>124</v>
      </c>
      <c r="G209" t="s">
        <v>124</v>
      </c>
      <c r="H209" t="s">
        <v>125</v>
      </c>
      <c r="I209" t="s">
        <v>125</v>
      </c>
      <c r="J209" t="s">
        <v>104</v>
      </c>
      <c r="K209" t="s">
        <v>104</v>
      </c>
      <c r="L209" t="s">
        <v>104</v>
      </c>
      <c r="M209" t="s">
        <v>104</v>
      </c>
    </row>
    <row r="210" spans="1:13" x14ac:dyDescent="0.2">
      <c r="A210" t="s">
        <v>28</v>
      </c>
      <c r="B210" t="s">
        <v>126</v>
      </c>
      <c r="C210" t="s">
        <v>126</v>
      </c>
      <c r="D210" t="s">
        <v>127</v>
      </c>
      <c r="E210" t="s">
        <v>127</v>
      </c>
      <c r="F210" t="s">
        <v>128</v>
      </c>
      <c r="G210" t="s">
        <v>128</v>
      </c>
      <c r="H210" t="s">
        <v>129</v>
      </c>
      <c r="I210" t="s">
        <v>129</v>
      </c>
      <c r="J210" t="s">
        <v>104</v>
      </c>
      <c r="K210" t="s">
        <v>104</v>
      </c>
      <c r="L210" t="s">
        <v>104</v>
      </c>
      <c r="M210" t="s">
        <v>104</v>
      </c>
    </row>
    <row r="211" spans="1:13" x14ac:dyDescent="0.2">
      <c r="A211" t="s">
        <v>29</v>
      </c>
      <c r="B211" t="s">
        <v>130</v>
      </c>
      <c r="C211" t="s">
        <v>130</v>
      </c>
      <c r="D211" t="s">
        <v>131</v>
      </c>
      <c r="E211" t="s">
        <v>131</v>
      </c>
      <c r="F211" t="s">
        <v>132</v>
      </c>
      <c r="G211" t="s">
        <v>132</v>
      </c>
      <c r="H211" t="s">
        <v>133</v>
      </c>
      <c r="I211" t="s">
        <v>133</v>
      </c>
      <c r="J211" t="s">
        <v>104</v>
      </c>
      <c r="K211" t="s">
        <v>104</v>
      </c>
      <c r="L211" t="s">
        <v>104</v>
      </c>
      <c r="M211" t="s">
        <v>104</v>
      </c>
    </row>
    <row r="213" spans="1:13" x14ac:dyDescent="0.2">
      <c r="A213" t="s">
        <v>134</v>
      </c>
    </row>
    <row r="214" spans="1:13" x14ac:dyDescent="0.2">
      <c r="A214" t="s">
        <v>135</v>
      </c>
    </row>
    <row r="215" spans="1:13" x14ac:dyDescent="0.2">
      <c r="A215" t="s">
        <v>136</v>
      </c>
    </row>
    <row r="216" spans="1:13" x14ac:dyDescent="0.2">
      <c r="A216" t="s">
        <v>137</v>
      </c>
    </row>
    <row r="218" spans="1:13" x14ac:dyDescent="0.2">
      <c r="A218" t="s">
        <v>138</v>
      </c>
    </row>
    <row r="219" spans="1:13" x14ac:dyDescent="0.2">
      <c r="A219" t="s">
        <v>1</v>
      </c>
      <c r="E219">
        <v>1</v>
      </c>
    </row>
    <row r="220" spans="1:13" x14ac:dyDescent="0.2">
      <c r="A220" t="s">
        <v>139</v>
      </c>
      <c r="E220" t="s">
        <v>140</v>
      </c>
    </row>
    <row r="221" spans="1:13" x14ac:dyDescent="0.2">
      <c r="A221" t="s">
        <v>141</v>
      </c>
      <c r="E221" t="s">
        <v>142</v>
      </c>
    </row>
    <row r="222" spans="1:13" x14ac:dyDescent="0.2">
      <c r="A222" t="s">
        <v>143</v>
      </c>
      <c r="E222" t="s">
        <v>144</v>
      </c>
    </row>
    <row r="224" spans="1:13" x14ac:dyDescent="0.2">
      <c r="A224" t="s">
        <v>139</v>
      </c>
      <c r="E224" t="s">
        <v>145</v>
      </c>
    </row>
    <row r="225" spans="1:5" x14ac:dyDescent="0.2">
      <c r="A225" t="s">
        <v>141</v>
      </c>
      <c r="E225" t="s">
        <v>146</v>
      </c>
    </row>
    <row r="226" spans="1:5" x14ac:dyDescent="0.2">
      <c r="A226" t="s">
        <v>143</v>
      </c>
      <c r="E226" t="s">
        <v>147</v>
      </c>
    </row>
    <row r="227" spans="1:5" x14ac:dyDescent="0.2">
      <c r="A227" t="s">
        <v>148</v>
      </c>
      <c r="E227" t="s">
        <v>149</v>
      </c>
    </row>
    <row r="228" spans="1:5" x14ac:dyDescent="0.2">
      <c r="A228" t="s">
        <v>150</v>
      </c>
      <c r="E228" t="s">
        <v>151</v>
      </c>
    </row>
    <row r="229" spans="1:5" x14ac:dyDescent="0.2">
      <c r="A229" t="s">
        <v>152</v>
      </c>
      <c r="E229" t="s">
        <v>153</v>
      </c>
    </row>
    <row r="230" spans="1:5" x14ac:dyDescent="0.2">
      <c r="A230" t="s">
        <v>154</v>
      </c>
      <c r="E230" t="s">
        <v>40</v>
      </c>
    </row>
    <row r="231" spans="1:5" x14ac:dyDescent="0.2">
      <c r="A231" t="s">
        <v>155</v>
      </c>
      <c r="E231" t="s">
        <v>156</v>
      </c>
    </row>
    <row r="232" spans="1:5" x14ac:dyDescent="0.2">
      <c r="A232" t="s">
        <v>157</v>
      </c>
      <c r="E232" t="s">
        <v>156</v>
      </c>
    </row>
    <row r="233" spans="1:5" x14ac:dyDescent="0.2">
      <c r="A233" t="s">
        <v>158</v>
      </c>
      <c r="E233">
        <v>2000</v>
      </c>
    </row>
    <row r="234" spans="1:5" x14ac:dyDescent="0.2">
      <c r="A234" t="s">
        <v>159</v>
      </c>
      <c r="E234">
        <v>1500</v>
      </c>
    </row>
    <row r="235" spans="1:5" x14ac:dyDescent="0.2">
      <c r="A235" t="s">
        <v>160</v>
      </c>
      <c r="E235">
        <v>1000</v>
      </c>
    </row>
    <row r="236" spans="1:5" x14ac:dyDescent="0.2">
      <c r="A236" t="s">
        <v>161</v>
      </c>
      <c r="E236">
        <v>750</v>
      </c>
    </row>
    <row r="237" spans="1:5" x14ac:dyDescent="0.2">
      <c r="A237" t="s">
        <v>162</v>
      </c>
      <c r="E237">
        <v>500</v>
      </c>
    </row>
    <row r="238" spans="1:5" x14ac:dyDescent="0.2">
      <c r="A238" t="s">
        <v>163</v>
      </c>
      <c r="E238">
        <v>250</v>
      </c>
    </row>
    <row r="239" spans="1:5" x14ac:dyDescent="0.2">
      <c r="A239" t="s">
        <v>164</v>
      </c>
      <c r="E239">
        <v>125</v>
      </c>
    </row>
    <row r="240" spans="1:5" x14ac:dyDescent="0.2">
      <c r="A240" t="s">
        <v>165</v>
      </c>
      <c r="E240">
        <v>25</v>
      </c>
    </row>
    <row r="241" spans="1:5" x14ac:dyDescent="0.2">
      <c r="A241" t="s">
        <v>166</v>
      </c>
      <c r="E241">
        <v>0</v>
      </c>
    </row>
    <row r="242" spans="1:5" x14ac:dyDescent="0.2">
      <c r="A242" t="s">
        <v>167</v>
      </c>
      <c r="E242" t="s">
        <v>81</v>
      </c>
    </row>
    <row r="244" spans="1:5" x14ac:dyDescent="0.2">
      <c r="A244" t="s">
        <v>139</v>
      </c>
      <c r="E244" t="s">
        <v>168</v>
      </c>
    </row>
    <row r="245" spans="1:5" x14ac:dyDescent="0.2">
      <c r="A245" t="s">
        <v>141</v>
      </c>
      <c r="E245" t="s">
        <v>142</v>
      </c>
    </row>
    <row r="246" spans="1:5" x14ac:dyDescent="0.2">
      <c r="A246" t="s">
        <v>143</v>
      </c>
      <c r="E246" t="s">
        <v>169</v>
      </c>
    </row>
    <row r="248" spans="1:5" x14ac:dyDescent="0.2">
      <c r="A248" t="s">
        <v>139</v>
      </c>
      <c r="E248" t="s">
        <v>170</v>
      </c>
    </row>
    <row r="249" spans="1:5" x14ac:dyDescent="0.2">
      <c r="A249" t="s">
        <v>141</v>
      </c>
      <c r="E249" t="s">
        <v>171</v>
      </c>
    </row>
    <row r="250" spans="1:5" x14ac:dyDescent="0.2">
      <c r="A250" t="s">
        <v>143</v>
      </c>
      <c r="E250" t="s">
        <v>172</v>
      </c>
    </row>
    <row r="252" spans="1:5" x14ac:dyDescent="0.2">
      <c r="A252" t="s">
        <v>139</v>
      </c>
      <c r="E252" t="s">
        <v>173</v>
      </c>
    </row>
    <row r="253" spans="1:5" x14ac:dyDescent="0.2">
      <c r="A253" t="s">
        <v>141</v>
      </c>
      <c r="E253" t="s">
        <v>174</v>
      </c>
    </row>
    <row r="254" spans="1:5" x14ac:dyDescent="0.2">
      <c r="A254" t="s">
        <v>143</v>
      </c>
      <c r="E254" t="s">
        <v>175</v>
      </c>
    </row>
    <row r="255" spans="1:5" x14ac:dyDescent="0.2">
      <c r="A255" t="s">
        <v>148</v>
      </c>
      <c r="E255" t="s">
        <v>149</v>
      </c>
    </row>
    <row r="256" spans="1:5" x14ac:dyDescent="0.2">
      <c r="A256" t="s">
        <v>150</v>
      </c>
      <c r="E256" t="s">
        <v>151</v>
      </c>
    </row>
    <row r="257" spans="1:5" x14ac:dyDescent="0.2">
      <c r="A257" t="s">
        <v>152</v>
      </c>
      <c r="E257" t="s">
        <v>153</v>
      </c>
    </row>
    <row r="258" spans="1:5" x14ac:dyDescent="0.2">
      <c r="A258" t="s">
        <v>154</v>
      </c>
      <c r="E258" t="s">
        <v>40</v>
      </c>
    </row>
    <row r="259" spans="1:5" x14ac:dyDescent="0.2">
      <c r="A259" t="s">
        <v>155</v>
      </c>
      <c r="E259" t="s">
        <v>156</v>
      </c>
    </row>
    <row r="260" spans="1:5" x14ac:dyDescent="0.2">
      <c r="A260" t="s">
        <v>157</v>
      </c>
      <c r="E260" t="s">
        <v>156</v>
      </c>
    </row>
    <row r="261" spans="1:5" x14ac:dyDescent="0.2">
      <c r="A261" t="s">
        <v>158</v>
      </c>
      <c r="E261">
        <v>2000</v>
      </c>
    </row>
    <row r="262" spans="1:5" x14ac:dyDescent="0.2">
      <c r="A262" t="s">
        <v>159</v>
      </c>
      <c r="E262">
        <v>1500</v>
      </c>
    </row>
    <row r="263" spans="1:5" x14ac:dyDescent="0.2">
      <c r="A263" t="s">
        <v>160</v>
      </c>
      <c r="E263">
        <v>1000</v>
      </c>
    </row>
    <row r="264" spans="1:5" x14ac:dyDescent="0.2">
      <c r="A264" t="s">
        <v>161</v>
      </c>
      <c r="E264">
        <v>750</v>
      </c>
    </row>
    <row r="265" spans="1:5" x14ac:dyDescent="0.2">
      <c r="A265" t="s">
        <v>162</v>
      </c>
      <c r="E265">
        <v>500</v>
      </c>
    </row>
    <row r="266" spans="1:5" x14ac:dyDescent="0.2">
      <c r="A266" t="s">
        <v>163</v>
      </c>
      <c r="E266">
        <v>250</v>
      </c>
    </row>
    <row r="267" spans="1:5" x14ac:dyDescent="0.2">
      <c r="A267" t="s">
        <v>164</v>
      </c>
      <c r="E267">
        <v>125</v>
      </c>
    </row>
    <row r="268" spans="1:5" x14ac:dyDescent="0.2">
      <c r="A268" t="s">
        <v>165</v>
      </c>
      <c r="E268">
        <v>25</v>
      </c>
    </row>
    <row r="269" spans="1:5" x14ac:dyDescent="0.2">
      <c r="A269" t="s">
        <v>166</v>
      </c>
      <c r="E269">
        <v>0</v>
      </c>
    </row>
    <row r="270" spans="1:5" x14ac:dyDescent="0.2">
      <c r="A270" t="s">
        <v>167</v>
      </c>
      <c r="E270" t="s">
        <v>81</v>
      </c>
    </row>
    <row r="272" spans="1:5" x14ac:dyDescent="0.2">
      <c r="A272" t="s">
        <v>139</v>
      </c>
      <c r="E272" t="s">
        <v>176</v>
      </c>
    </row>
    <row r="273" spans="1:5" x14ac:dyDescent="0.2">
      <c r="A273" t="s">
        <v>141</v>
      </c>
      <c r="E273" t="s">
        <v>177</v>
      </c>
    </row>
    <row r="274" spans="1:5" x14ac:dyDescent="0.2">
      <c r="A274" t="s">
        <v>143</v>
      </c>
      <c r="E274" t="s">
        <v>178</v>
      </c>
    </row>
    <row r="276" spans="1:5" x14ac:dyDescent="0.2">
      <c r="A276" t="s">
        <v>139</v>
      </c>
      <c r="E276" t="s">
        <v>179</v>
      </c>
    </row>
    <row r="277" spans="1:5" x14ac:dyDescent="0.2">
      <c r="A277" t="s">
        <v>141</v>
      </c>
      <c r="E277" t="s">
        <v>142</v>
      </c>
    </row>
    <row r="278" spans="1:5" x14ac:dyDescent="0.2">
      <c r="A278" t="s">
        <v>143</v>
      </c>
      <c r="E278" t="s">
        <v>180</v>
      </c>
    </row>
    <row r="280" spans="1:5" x14ac:dyDescent="0.2">
      <c r="A280" t="s">
        <v>181</v>
      </c>
    </row>
    <row r="281" spans="1:5" x14ac:dyDescent="0.2">
      <c r="A281" t="s">
        <v>182</v>
      </c>
      <c r="E281" t="s">
        <v>183</v>
      </c>
    </row>
    <row r="282" spans="1:5" x14ac:dyDescent="0.2">
      <c r="A282" t="s">
        <v>184</v>
      </c>
      <c r="E282" t="s">
        <v>40</v>
      </c>
    </row>
    <row r="283" spans="1:5" x14ac:dyDescent="0.2">
      <c r="A283" t="s">
        <v>185</v>
      </c>
      <c r="E283" t="s">
        <v>186</v>
      </c>
    </row>
    <row r="284" spans="1:5" x14ac:dyDescent="0.2">
      <c r="A284" t="s">
        <v>187</v>
      </c>
      <c r="E284" t="s">
        <v>40</v>
      </c>
    </row>
    <row r="285" spans="1:5" x14ac:dyDescent="0.2">
      <c r="A285" t="s">
        <v>188</v>
      </c>
      <c r="E285" t="s">
        <v>189</v>
      </c>
    </row>
    <row r="286" spans="1:5" x14ac:dyDescent="0.2">
      <c r="A286" t="s">
        <v>190</v>
      </c>
      <c r="E286" t="s">
        <v>191</v>
      </c>
    </row>
    <row r="287" spans="1:5" x14ac:dyDescent="0.2">
      <c r="A287" t="s">
        <v>192</v>
      </c>
      <c r="E287" t="s">
        <v>193</v>
      </c>
    </row>
    <row r="289" spans="1:5" x14ac:dyDescent="0.2">
      <c r="A289" t="s">
        <v>194</v>
      </c>
    </row>
    <row r="290" spans="1:5" x14ac:dyDescent="0.2">
      <c r="A290" t="s">
        <v>195</v>
      </c>
    </row>
    <row r="291" spans="1:5" x14ac:dyDescent="0.2">
      <c r="A291" t="s">
        <v>196</v>
      </c>
    </row>
    <row r="292" spans="1:5" x14ac:dyDescent="0.2">
      <c r="A292" t="s">
        <v>197</v>
      </c>
      <c r="E292" t="s">
        <v>23</v>
      </c>
    </row>
    <row r="293" spans="1:5" x14ac:dyDescent="0.2">
      <c r="A293" t="s">
        <v>198</v>
      </c>
      <c r="E293" t="s">
        <v>199</v>
      </c>
    </row>
    <row r="295" spans="1:5" x14ac:dyDescent="0.2">
      <c r="A295" t="s">
        <v>200</v>
      </c>
    </row>
    <row r="296" spans="1:5" x14ac:dyDescent="0.2">
      <c r="A296" t="s">
        <v>201</v>
      </c>
      <c r="E296" t="s">
        <v>23</v>
      </c>
    </row>
    <row r="297" spans="1:5" x14ac:dyDescent="0.2">
      <c r="A297" t="s">
        <v>202</v>
      </c>
      <c r="E297" t="s">
        <v>11</v>
      </c>
    </row>
    <row r="298" spans="1:5" x14ac:dyDescent="0.2">
      <c r="A298" t="s">
        <v>203</v>
      </c>
      <c r="E298" t="s">
        <v>204</v>
      </c>
    </row>
    <row r="299" spans="1:5" x14ac:dyDescent="0.2">
      <c r="A299" t="s">
        <v>205</v>
      </c>
      <c r="E299" t="s">
        <v>206</v>
      </c>
    </row>
    <row r="300" spans="1:5" x14ac:dyDescent="0.2">
      <c r="A300" t="s">
        <v>207</v>
      </c>
      <c r="E300">
        <v>10</v>
      </c>
    </row>
    <row r="301" spans="1:5" x14ac:dyDescent="0.2">
      <c r="A301" t="s">
        <v>208</v>
      </c>
      <c r="E301">
        <v>9</v>
      </c>
    </row>
    <row r="302" spans="1:5" x14ac:dyDescent="0.2">
      <c r="A302" t="s">
        <v>209</v>
      </c>
      <c r="E302" s="3">
        <v>1</v>
      </c>
    </row>
    <row r="303" spans="1:5" x14ac:dyDescent="0.2">
      <c r="A303" t="s">
        <v>210</v>
      </c>
      <c r="E303" s="3">
        <v>1</v>
      </c>
    </row>
    <row r="304" spans="1:5" x14ac:dyDescent="0.2">
      <c r="A304" t="s">
        <v>211</v>
      </c>
      <c r="E304" s="3">
        <v>1</v>
      </c>
    </row>
    <row r="305" spans="1:5" x14ac:dyDescent="0.2">
      <c r="A305" t="s">
        <v>212</v>
      </c>
      <c r="E305">
        <v>1</v>
      </c>
    </row>
    <row r="306" spans="1:5" x14ac:dyDescent="0.2">
      <c r="A306" t="s">
        <v>213</v>
      </c>
      <c r="E306">
        <v>63507</v>
      </c>
    </row>
    <row r="307" spans="1:5" x14ac:dyDescent="0.2">
      <c r="A307" t="s">
        <v>214</v>
      </c>
      <c r="E307" s="1">
        <v>44216.505347222221</v>
      </c>
    </row>
    <row r="308" spans="1:5" x14ac:dyDescent="0.2">
      <c r="A308" t="s">
        <v>215</v>
      </c>
      <c r="E308" t="s">
        <v>216</v>
      </c>
    </row>
    <row r="309" spans="1:5" x14ac:dyDescent="0.2">
      <c r="A309" t="s">
        <v>217</v>
      </c>
      <c r="E309" t="s">
        <v>40</v>
      </c>
    </row>
    <row r="311" spans="1:5" x14ac:dyDescent="0.2">
      <c r="A311" t="s">
        <v>218</v>
      </c>
    </row>
    <row r="312" spans="1:5" x14ac:dyDescent="0.2">
      <c r="A312" t="s">
        <v>219</v>
      </c>
      <c r="E312">
        <v>140</v>
      </c>
    </row>
    <row r="313" spans="1:5" x14ac:dyDescent="0.2">
      <c r="A313" t="s">
        <v>220</v>
      </c>
      <c r="E313" t="s">
        <v>156</v>
      </c>
    </row>
    <row r="314" spans="1:5" x14ac:dyDescent="0.2">
      <c r="A314" t="s">
        <v>221</v>
      </c>
      <c r="E314" t="s">
        <v>222</v>
      </c>
    </row>
    <row r="315" spans="1:5" x14ac:dyDescent="0.2">
      <c r="A315" t="s">
        <v>223</v>
      </c>
    </row>
    <row r="316" spans="1:5" x14ac:dyDescent="0.2">
      <c r="A316" t="s">
        <v>214</v>
      </c>
      <c r="E316" s="4">
        <v>40544</v>
      </c>
    </row>
    <row r="317" spans="1:5" x14ac:dyDescent="0.2">
      <c r="A317" t="s">
        <v>215</v>
      </c>
      <c r="E317" t="s">
        <v>224</v>
      </c>
    </row>
    <row r="318" spans="1:5" x14ac:dyDescent="0.2">
      <c r="A318" t="s">
        <v>217</v>
      </c>
      <c r="E318" t="s">
        <v>186</v>
      </c>
    </row>
    <row r="320" spans="1:5" x14ac:dyDescent="0.2">
      <c r="A320" t="s">
        <v>225</v>
      </c>
      <c r="E320">
        <v>141</v>
      </c>
    </row>
    <row r="321" spans="1:5" x14ac:dyDescent="0.2">
      <c r="A321" t="s">
        <v>220</v>
      </c>
      <c r="E321" t="s">
        <v>156</v>
      </c>
    </row>
    <row r="322" spans="1:5" x14ac:dyDescent="0.2">
      <c r="A322" t="s">
        <v>221</v>
      </c>
      <c r="E322" t="s">
        <v>226</v>
      </c>
    </row>
    <row r="323" spans="1:5" x14ac:dyDescent="0.2">
      <c r="A323" t="s">
        <v>223</v>
      </c>
    </row>
    <row r="324" spans="1:5" x14ac:dyDescent="0.2">
      <c r="A324" t="s">
        <v>214</v>
      </c>
      <c r="E324" s="4">
        <v>40544</v>
      </c>
    </row>
    <row r="325" spans="1:5" x14ac:dyDescent="0.2">
      <c r="A325" t="s">
        <v>215</v>
      </c>
      <c r="E325" t="s">
        <v>224</v>
      </c>
    </row>
    <row r="326" spans="1:5" x14ac:dyDescent="0.2">
      <c r="A326" t="s">
        <v>217</v>
      </c>
      <c r="E326" t="s">
        <v>186</v>
      </c>
    </row>
    <row r="328" spans="1:5" x14ac:dyDescent="0.2">
      <c r="A328" t="s">
        <v>227</v>
      </c>
      <c r="E328">
        <v>142</v>
      </c>
    </row>
    <row r="329" spans="1:5" x14ac:dyDescent="0.2">
      <c r="A329" t="s">
        <v>220</v>
      </c>
      <c r="E329" t="s">
        <v>156</v>
      </c>
    </row>
    <row r="330" spans="1:5" x14ac:dyDescent="0.2">
      <c r="A330" t="s">
        <v>221</v>
      </c>
      <c r="E330" t="s">
        <v>228</v>
      </c>
    </row>
    <row r="331" spans="1:5" x14ac:dyDescent="0.2">
      <c r="A331" t="s">
        <v>223</v>
      </c>
    </row>
    <row r="332" spans="1:5" x14ac:dyDescent="0.2">
      <c r="A332" t="s">
        <v>214</v>
      </c>
      <c r="E332" s="4">
        <v>40544</v>
      </c>
    </row>
    <row r="333" spans="1:5" x14ac:dyDescent="0.2">
      <c r="A333" t="s">
        <v>215</v>
      </c>
      <c r="E333" t="s">
        <v>224</v>
      </c>
    </row>
    <row r="334" spans="1:5" x14ac:dyDescent="0.2">
      <c r="A334" t="s">
        <v>217</v>
      </c>
      <c r="E334" t="s">
        <v>186</v>
      </c>
    </row>
    <row r="336" spans="1:5" x14ac:dyDescent="0.2">
      <c r="A336" t="s">
        <v>229</v>
      </c>
    </row>
    <row r="337" spans="1:5" x14ac:dyDescent="0.2">
      <c r="A337" t="s">
        <v>230</v>
      </c>
      <c r="E337">
        <v>23000584</v>
      </c>
    </row>
    <row r="338" spans="1:5" x14ac:dyDescent="0.2">
      <c r="A338" t="s">
        <v>231</v>
      </c>
      <c r="E338" t="s">
        <v>216</v>
      </c>
    </row>
    <row r="343" spans="1:5" x14ac:dyDescent="0.2">
      <c r="A343" t="s">
        <v>232</v>
      </c>
    </row>
    <row r="344" spans="1:5" x14ac:dyDescent="0.2">
      <c r="A344" t="s">
        <v>233</v>
      </c>
    </row>
    <row r="346" spans="1:5" x14ac:dyDescent="0.2">
      <c r="A346" t="s">
        <v>234</v>
      </c>
    </row>
    <row r="348" spans="1:5" x14ac:dyDescent="0.2">
      <c r="A348" t="s">
        <v>235</v>
      </c>
    </row>
    <row r="350" spans="1:5" x14ac:dyDescent="0.2">
      <c r="A350" t="s">
        <v>236</v>
      </c>
    </row>
    <row r="352" spans="1:5" x14ac:dyDescent="0.2">
      <c r="A352" t="s">
        <v>237</v>
      </c>
    </row>
    <row r="354" spans="1:1" x14ac:dyDescent="0.2">
      <c r="A354" t="s">
        <v>238</v>
      </c>
    </row>
    <row r="356" spans="1:1" x14ac:dyDescent="0.2">
      <c r="A356" t="s">
        <v>239</v>
      </c>
    </row>
    <row r="358" spans="1:1" x14ac:dyDescent="0.2">
      <c r="A358" t="s">
        <v>240</v>
      </c>
    </row>
    <row r="360" spans="1:1" x14ac:dyDescent="0.2">
      <c r="A360" t="s">
        <v>241</v>
      </c>
    </row>
    <row r="362" spans="1:1" x14ac:dyDescent="0.2">
      <c r="A362" t="s">
        <v>242</v>
      </c>
    </row>
    <row r="366" spans="1:1" x14ac:dyDescent="0.2">
      <c r="A366" t="s">
        <v>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50"/>
  <sheetViews>
    <sheetView tabSelected="1" topLeftCell="A5" workbookViewId="0">
      <selection activeCell="A19" sqref="A19:F24"/>
    </sheetView>
  </sheetViews>
  <sheetFormatPr baseColWidth="10" defaultRowHeight="16" x14ac:dyDescent="0.2"/>
  <sheetData>
    <row r="1" spans="1:20" x14ac:dyDescent="0.2">
      <c r="C1" t="s">
        <v>52</v>
      </c>
    </row>
    <row r="2" spans="1:20" x14ac:dyDescent="0.2">
      <c r="D2">
        <v>1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</row>
    <row r="3" spans="1:20" x14ac:dyDescent="0.2">
      <c r="C3" t="s">
        <v>22</v>
      </c>
      <c r="D3">
        <v>2007.5926606999999</v>
      </c>
    </row>
    <row r="4" spans="1:20" x14ac:dyDescent="0.2">
      <c r="C4" t="s">
        <v>23</v>
      </c>
      <c r="D4">
        <v>1457.2237364299999</v>
      </c>
    </row>
    <row r="5" spans="1:20" x14ac:dyDescent="0.2">
      <c r="C5" t="s">
        <v>24</v>
      </c>
      <c r="D5">
        <v>1033.62944713</v>
      </c>
    </row>
    <row r="6" spans="1:20" x14ac:dyDescent="0.2">
      <c r="C6" t="s">
        <v>25</v>
      </c>
      <c r="D6">
        <v>760.34280886800002</v>
      </c>
    </row>
    <row r="7" spans="1:20" x14ac:dyDescent="0.2">
      <c r="C7" t="s">
        <v>26</v>
      </c>
      <c r="D7">
        <v>524.25351859299997</v>
      </c>
    </row>
    <row r="8" spans="1:20" x14ac:dyDescent="0.2">
      <c r="C8" t="s">
        <v>27</v>
      </c>
      <c r="D8">
        <v>234.26603021700001</v>
      </c>
    </row>
    <row r="9" spans="1:20" x14ac:dyDescent="0.2">
      <c r="C9" t="s">
        <v>28</v>
      </c>
      <c r="D9">
        <v>119.637468058</v>
      </c>
    </row>
    <row r="10" spans="1:20" x14ac:dyDescent="0.2">
      <c r="C10" t="s">
        <v>29</v>
      </c>
      <c r="D10">
        <v>27.782792421100002</v>
      </c>
    </row>
    <row r="11" spans="1:20" x14ac:dyDescent="0.2">
      <c r="C11" t="s">
        <v>273</v>
      </c>
      <c r="D11">
        <v>-14.728462419</v>
      </c>
    </row>
    <row r="12" spans="1:20" x14ac:dyDescent="0.2">
      <c r="C12" t="s">
        <v>244</v>
      </c>
      <c r="D12">
        <v>-26.874535230999999</v>
      </c>
      <c r="E12" t="s">
        <v>274</v>
      </c>
      <c r="F12" t="s">
        <v>271</v>
      </c>
      <c r="G12" t="s">
        <v>272</v>
      </c>
      <c r="I12" t="s">
        <v>279</v>
      </c>
    </row>
    <row r="13" spans="1:20" x14ac:dyDescent="0.2">
      <c r="A13" t="s">
        <v>275</v>
      </c>
      <c r="B13" t="s">
        <v>245</v>
      </c>
      <c r="C13" t="s">
        <v>245</v>
      </c>
      <c r="D13">
        <v>197.06868223199999</v>
      </c>
      <c r="E13" s="5">
        <f>D13*(10/1.5)</f>
        <v>1313.7912148799999</v>
      </c>
      <c r="F13" s="5">
        <f>E13/1000</f>
        <v>1.3137912148799999</v>
      </c>
      <c r="G13" s="5">
        <f>15/F13</f>
        <v>11.417339246989927</v>
      </c>
      <c r="I13" s="5">
        <f>5/$F$18</f>
        <v>3.8204967091883621</v>
      </c>
      <c r="J13" s="5">
        <f>10/$F$18</f>
        <v>7.6409934183767243</v>
      </c>
      <c r="K13" s="5">
        <f>15/$F$18</f>
        <v>11.461490127565087</v>
      </c>
      <c r="L13" s="5">
        <f>5/$F$24</f>
        <v>1.3923000754935524</v>
      </c>
      <c r="M13" s="5">
        <f>10/$F$24</f>
        <v>2.7846001509871048</v>
      </c>
      <c r="N13" s="5">
        <f>15/$F$24</f>
        <v>4.1769002264806572</v>
      </c>
      <c r="O13" s="5">
        <f>5/$F$30</f>
        <v>1.762356031465693</v>
      </c>
      <c r="P13" s="5">
        <f>10/$F$30</f>
        <v>3.5247120629313859</v>
      </c>
      <c r="Q13" s="5">
        <f>15/$F$30</f>
        <v>5.2870680943970791</v>
      </c>
      <c r="R13" s="5">
        <f>5/$F$36</f>
        <v>2.2423459924709737</v>
      </c>
      <c r="S13" s="5">
        <f>10/$F$36</f>
        <v>4.4846919849419473</v>
      </c>
      <c r="T13" s="5">
        <f>15/$F$36</f>
        <v>6.7270379774129205</v>
      </c>
    </row>
    <row r="14" spans="1:20" x14ac:dyDescent="0.2">
      <c r="A14" t="s">
        <v>275</v>
      </c>
      <c r="B14" t="s">
        <v>246</v>
      </c>
      <c r="C14" t="s">
        <v>246</v>
      </c>
      <c r="D14">
        <v>216.806050551</v>
      </c>
      <c r="E14" s="5">
        <f t="shared" ref="E14:E36" si="0">D14*(10/1.5)</f>
        <v>1445.37367034</v>
      </c>
      <c r="F14" s="5">
        <f t="shared" ref="F14:F36" si="1">E14/1000</f>
        <v>1.44537367034</v>
      </c>
      <c r="G14" s="5">
        <f t="shared" ref="G14:G36" si="2">15/F14</f>
        <v>10.377939150137902</v>
      </c>
      <c r="I14" t="s">
        <v>280</v>
      </c>
      <c r="J14" t="s">
        <v>280</v>
      </c>
      <c r="K14" t="s">
        <v>280</v>
      </c>
      <c r="L14" t="s">
        <v>281</v>
      </c>
      <c r="M14" t="s">
        <v>281</v>
      </c>
      <c r="N14" t="s">
        <v>281</v>
      </c>
      <c r="O14" t="s">
        <v>277</v>
      </c>
      <c r="P14" t="s">
        <v>277</v>
      </c>
      <c r="Q14" t="s">
        <v>277</v>
      </c>
      <c r="R14" t="s">
        <v>278</v>
      </c>
      <c r="S14" t="s">
        <v>278</v>
      </c>
      <c r="T14" t="s">
        <v>278</v>
      </c>
    </row>
    <row r="15" spans="1:20" x14ac:dyDescent="0.2">
      <c r="A15" t="s">
        <v>275</v>
      </c>
      <c r="B15" t="s">
        <v>247</v>
      </c>
      <c r="C15" t="s">
        <v>247</v>
      </c>
      <c r="D15">
        <v>258.55817584099998</v>
      </c>
      <c r="E15" s="5">
        <f t="shared" si="0"/>
        <v>1723.7211722733332</v>
      </c>
      <c r="F15" s="5">
        <f t="shared" si="1"/>
        <v>1.7237211722733332</v>
      </c>
      <c r="G15" s="5">
        <f t="shared" si="2"/>
        <v>8.7021034731604647</v>
      </c>
    </row>
    <row r="16" spans="1:20" x14ac:dyDescent="0.2">
      <c r="A16" t="s">
        <v>275</v>
      </c>
      <c r="B16" t="s">
        <v>248</v>
      </c>
      <c r="C16" t="s">
        <v>248</v>
      </c>
      <c r="D16">
        <v>140.89309547900001</v>
      </c>
      <c r="E16" s="5">
        <f t="shared" si="0"/>
        <v>939.2873031933334</v>
      </c>
      <c r="F16" s="5">
        <f t="shared" si="1"/>
        <v>0.93928730319333342</v>
      </c>
      <c r="G16" s="5">
        <f t="shared" si="2"/>
        <v>15.969554734748236</v>
      </c>
      <c r="I16" t="s">
        <v>282</v>
      </c>
    </row>
    <row r="17" spans="1:29" x14ac:dyDescent="0.2">
      <c r="A17" t="s">
        <v>275</v>
      </c>
      <c r="B17" t="s">
        <v>249</v>
      </c>
      <c r="C17" t="s">
        <v>249</v>
      </c>
      <c r="D17">
        <v>123.433115812</v>
      </c>
      <c r="E17" s="5">
        <f t="shared" si="0"/>
        <v>822.8874387466667</v>
      </c>
      <c r="F17" s="5">
        <f t="shared" si="1"/>
        <v>0.8228874387466667</v>
      </c>
      <c r="G17" s="5">
        <f t="shared" si="2"/>
        <v>18.228495531352841</v>
      </c>
      <c r="I17" s="6" t="s">
        <v>245</v>
      </c>
      <c r="J17" s="6"/>
      <c r="K17" s="6"/>
      <c r="L17" s="6"/>
      <c r="M17" s="6"/>
      <c r="N17" s="6"/>
      <c r="O17" s="6"/>
      <c r="P17" s="6" t="s">
        <v>246</v>
      </c>
      <c r="Q17" s="6"/>
      <c r="R17" s="6"/>
      <c r="S17" s="6"/>
      <c r="T17" s="6"/>
      <c r="U17" s="6"/>
      <c r="V17" s="6"/>
      <c r="W17" s="6" t="s">
        <v>247</v>
      </c>
      <c r="X17" s="6"/>
      <c r="Y17" s="6"/>
      <c r="Z17" s="6"/>
      <c r="AA17" s="6"/>
      <c r="AB17" s="6"/>
      <c r="AC17" s="6"/>
    </row>
    <row r="18" spans="1:29" x14ac:dyDescent="0.2">
      <c r="A18" t="s">
        <v>275</v>
      </c>
      <c r="B18" t="s">
        <v>250</v>
      </c>
      <c r="C18" t="s">
        <v>250</v>
      </c>
      <c r="D18">
        <v>196.30955268100001</v>
      </c>
      <c r="E18" s="5">
        <f t="shared" si="0"/>
        <v>1308.7303512066669</v>
      </c>
      <c r="F18" s="5">
        <f t="shared" si="1"/>
        <v>1.3087303512066668</v>
      </c>
      <c r="G18" s="5">
        <f t="shared" si="2"/>
        <v>11.461490127565087</v>
      </c>
      <c r="I18" t="s">
        <v>280</v>
      </c>
      <c r="J18" t="s">
        <v>281</v>
      </c>
      <c r="K18" t="s">
        <v>277</v>
      </c>
      <c r="L18" t="s">
        <v>278</v>
      </c>
      <c r="M18" t="s">
        <v>246</v>
      </c>
      <c r="N18" t="s">
        <v>283</v>
      </c>
      <c r="O18" t="s">
        <v>284</v>
      </c>
      <c r="P18" t="s">
        <v>280</v>
      </c>
      <c r="Q18" t="s">
        <v>281</v>
      </c>
      <c r="R18" t="s">
        <v>277</v>
      </c>
      <c r="S18" t="s">
        <v>278</v>
      </c>
      <c r="T18" t="s">
        <v>246</v>
      </c>
      <c r="U18" t="s">
        <v>283</v>
      </c>
      <c r="V18" t="s">
        <v>284</v>
      </c>
      <c r="W18" t="s">
        <v>280</v>
      </c>
      <c r="X18" t="s">
        <v>281</v>
      </c>
      <c r="Y18" t="s">
        <v>277</v>
      </c>
      <c r="Z18" t="s">
        <v>278</v>
      </c>
      <c r="AA18" t="s">
        <v>246</v>
      </c>
      <c r="AB18" t="s">
        <v>283</v>
      </c>
      <c r="AC18" t="s">
        <v>284</v>
      </c>
    </row>
    <row r="19" spans="1:29" x14ac:dyDescent="0.2">
      <c r="A19" t="s">
        <v>276</v>
      </c>
      <c r="B19" t="s">
        <v>245</v>
      </c>
      <c r="C19" t="s">
        <v>251</v>
      </c>
      <c r="D19">
        <v>983.52689678000002</v>
      </c>
      <c r="E19" s="5">
        <f t="shared" si="0"/>
        <v>6556.8459785333334</v>
      </c>
      <c r="F19" s="5">
        <f t="shared" si="1"/>
        <v>6.5568459785333335</v>
      </c>
      <c r="G19" s="5">
        <f t="shared" si="2"/>
        <v>2.2876852756811701</v>
      </c>
      <c r="I19">
        <v>10</v>
      </c>
      <c r="J19">
        <v>10</v>
      </c>
      <c r="K19">
        <v>20</v>
      </c>
      <c r="L19">
        <v>15</v>
      </c>
      <c r="M19">
        <v>12.5</v>
      </c>
      <c r="N19">
        <v>10</v>
      </c>
      <c r="O19">
        <v>7.5</v>
      </c>
      <c r="P19">
        <v>10</v>
      </c>
      <c r="Q19">
        <v>10</v>
      </c>
      <c r="R19">
        <v>20</v>
      </c>
      <c r="S19">
        <v>15</v>
      </c>
      <c r="T19">
        <v>12.5</v>
      </c>
      <c r="U19">
        <v>10</v>
      </c>
      <c r="V19">
        <v>7.5</v>
      </c>
      <c r="W19">
        <v>10</v>
      </c>
      <c r="X19">
        <v>10</v>
      </c>
      <c r="Y19">
        <v>20</v>
      </c>
      <c r="Z19">
        <v>15</v>
      </c>
      <c r="AA19">
        <v>12.5</v>
      </c>
      <c r="AB19">
        <v>10</v>
      </c>
      <c r="AC19">
        <v>7.5</v>
      </c>
    </row>
    <row r="20" spans="1:29" x14ac:dyDescent="0.2">
      <c r="A20" t="s">
        <v>276</v>
      </c>
      <c r="B20" t="s">
        <v>246</v>
      </c>
      <c r="C20" t="s">
        <v>252</v>
      </c>
      <c r="D20">
        <v>774.76627033099999</v>
      </c>
      <c r="E20" s="5">
        <f t="shared" si="0"/>
        <v>5165.1084688733335</v>
      </c>
      <c r="F20" s="5">
        <f t="shared" si="1"/>
        <v>5.165108468873334</v>
      </c>
      <c r="G20" s="5">
        <f t="shared" si="2"/>
        <v>2.9041016447950709</v>
      </c>
      <c r="I20" s="5">
        <f>10/F13</f>
        <v>7.6115594979932846</v>
      </c>
      <c r="J20" s="5">
        <f>10/F19</f>
        <v>1.52512351712078</v>
      </c>
      <c r="K20" s="5">
        <f>20/F25</f>
        <v>3.2009560387212801</v>
      </c>
      <c r="L20" s="5">
        <f>15/F31</f>
        <v>2.6355376679552034</v>
      </c>
      <c r="M20" s="5">
        <f>12.5/[1]Sheet1!$F$13</f>
        <v>8.8403607625145249</v>
      </c>
      <c r="N20" s="5">
        <f>10/[1]Sheet1!$F$19</f>
        <v>9.8126132569608142</v>
      </c>
      <c r="O20" s="5">
        <f>7.5/[1]Sheet1!$F$31</f>
        <v>14.16337845863209</v>
      </c>
      <c r="P20" s="5">
        <f>10/F14</f>
        <v>6.9186261000919353</v>
      </c>
      <c r="Q20" s="5">
        <f>10/F20</f>
        <v>1.936067763196714</v>
      </c>
      <c r="R20" s="5">
        <f>20/F26</f>
        <v>3.0130375049071909</v>
      </c>
      <c r="S20" s="5">
        <f>15/F32</f>
        <v>3.212580410695336</v>
      </c>
      <c r="T20" s="5">
        <f>12.5/[1]Sheet1!$F$14</f>
        <v>8.489572477358232</v>
      </c>
      <c r="U20" s="5">
        <f>10/[1]Sheet1!$F$20</f>
        <v>7.3443637032415259</v>
      </c>
      <c r="V20" s="5">
        <f>7.5/[1]Sheet1!$F$32</f>
        <v>10.491224429914187</v>
      </c>
      <c r="W20" s="5">
        <f>10/F15</f>
        <v>5.8014023154403098</v>
      </c>
      <c r="X20" s="5">
        <f>10/F21</f>
        <v>1.7904589528274157</v>
      </c>
      <c r="Y20" s="5">
        <f>20/F27</f>
        <v>3.0549629452278788</v>
      </c>
      <c r="Z20" s="5">
        <f>15/F33</f>
        <v>2.7762513220871017</v>
      </c>
      <c r="AA20" s="5">
        <f>12.5/[1]Sheet1!$F$15</f>
        <v>8.489572477358232</v>
      </c>
      <c r="AB20" s="5">
        <f>10/[1]Sheet1!$F$21</f>
        <v>10.30136933370733</v>
      </c>
      <c r="AC20" s="5">
        <f>7.5/[1]Sheet1!$F$33</f>
        <v>12.8439957122145</v>
      </c>
    </row>
    <row r="21" spans="1:29" x14ac:dyDescent="0.2">
      <c r="A21" t="s">
        <v>276</v>
      </c>
      <c r="B21" t="s">
        <v>247</v>
      </c>
      <c r="C21" t="s">
        <v>253</v>
      </c>
      <c r="D21">
        <v>837.77402304099996</v>
      </c>
      <c r="E21" s="5">
        <f t="shared" si="0"/>
        <v>5585.1601536066664</v>
      </c>
      <c r="F21" s="5">
        <f t="shared" si="1"/>
        <v>5.5851601536066662</v>
      </c>
      <c r="G21" s="5">
        <f t="shared" si="2"/>
        <v>2.6856884292411238</v>
      </c>
    </row>
    <row r="22" spans="1:29" x14ac:dyDescent="0.2">
      <c r="A22" t="s">
        <v>276</v>
      </c>
      <c r="B22" t="s">
        <v>248</v>
      </c>
      <c r="C22" t="s">
        <v>254</v>
      </c>
      <c r="D22">
        <v>405.82930868099999</v>
      </c>
      <c r="E22" s="5">
        <f t="shared" si="0"/>
        <v>2705.52872454</v>
      </c>
      <c r="F22" s="5">
        <f t="shared" si="1"/>
        <v>2.7055287245400002</v>
      </c>
      <c r="G22" s="5">
        <f t="shared" si="2"/>
        <v>5.5442028258451899</v>
      </c>
      <c r="I22" t="s">
        <v>280</v>
      </c>
      <c r="J22" t="s">
        <v>280</v>
      </c>
      <c r="K22" t="s">
        <v>280</v>
      </c>
      <c r="L22" t="s">
        <v>281</v>
      </c>
      <c r="M22" t="s">
        <v>281</v>
      </c>
      <c r="N22" t="s">
        <v>281</v>
      </c>
      <c r="O22" t="s">
        <v>277</v>
      </c>
      <c r="P22" t="s">
        <v>277</v>
      </c>
      <c r="Q22" t="s">
        <v>277</v>
      </c>
      <c r="R22" t="s">
        <v>278</v>
      </c>
      <c r="S22" t="s">
        <v>278</v>
      </c>
      <c r="T22" t="s">
        <v>278</v>
      </c>
      <c r="U22" t="s">
        <v>246</v>
      </c>
      <c r="V22" t="s">
        <v>246</v>
      </c>
      <c r="W22" t="s">
        <v>246</v>
      </c>
      <c r="X22" t="s">
        <v>283</v>
      </c>
      <c r="Y22" t="s">
        <v>283</v>
      </c>
      <c r="Z22" t="s">
        <v>283</v>
      </c>
      <c r="AA22" t="s">
        <v>284</v>
      </c>
      <c r="AB22" t="s">
        <v>284</v>
      </c>
      <c r="AC22" t="s">
        <v>284</v>
      </c>
    </row>
    <row r="23" spans="1:29" x14ac:dyDescent="0.2">
      <c r="A23" t="s">
        <v>276</v>
      </c>
      <c r="B23" t="s">
        <v>249</v>
      </c>
      <c r="C23" t="s">
        <v>255</v>
      </c>
      <c r="D23">
        <v>385.332810811</v>
      </c>
      <c r="E23" s="5">
        <f t="shared" si="0"/>
        <v>2568.8854054066669</v>
      </c>
      <c r="F23" s="5">
        <f t="shared" si="1"/>
        <v>2.5688854054066668</v>
      </c>
      <c r="G23" s="5">
        <f t="shared" si="2"/>
        <v>5.8391082640081517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20</v>
      </c>
      <c r="P23">
        <v>20</v>
      </c>
      <c r="Q23">
        <v>20</v>
      </c>
      <c r="R23">
        <v>15</v>
      </c>
      <c r="S23">
        <v>15</v>
      </c>
      <c r="T23">
        <v>15</v>
      </c>
      <c r="U23">
        <v>12.5</v>
      </c>
      <c r="V23">
        <v>12.5</v>
      </c>
      <c r="W23">
        <v>12.5</v>
      </c>
      <c r="X23">
        <v>10</v>
      </c>
      <c r="Y23">
        <v>10</v>
      </c>
      <c r="Z23">
        <v>10</v>
      </c>
      <c r="AA23">
        <v>7.5</v>
      </c>
      <c r="AB23">
        <v>7.5</v>
      </c>
      <c r="AC23">
        <v>7.5</v>
      </c>
    </row>
    <row r="24" spans="1:29" x14ac:dyDescent="0.2">
      <c r="A24" t="s">
        <v>276</v>
      </c>
      <c r="B24" t="s">
        <v>250</v>
      </c>
      <c r="C24" t="s">
        <v>256</v>
      </c>
      <c r="D24">
        <v>538.67698005700004</v>
      </c>
      <c r="E24" s="5">
        <f t="shared" si="0"/>
        <v>3591.1798670466669</v>
      </c>
      <c r="F24" s="5">
        <f t="shared" si="1"/>
        <v>3.5911798670466668</v>
      </c>
      <c r="G24" s="5">
        <f t="shared" si="2"/>
        <v>4.1769002264806572</v>
      </c>
      <c r="I24" s="5">
        <v>7.6115594979932846</v>
      </c>
      <c r="J24" s="5">
        <v>6.9186261000919353</v>
      </c>
      <c r="K24" s="5">
        <v>5.8014023154403098</v>
      </c>
      <c r="L24" s="5">
        <v>1.52512351712078</v>
      </c>
      <c r="M24" s="5">
        <v>1.936067763196714</v>
      </c>
      <c r="N24" s="5">
        <v>1.7904589528274157</v>
      </c>
      <c r="O24" s="5">
        <v>3.2009560387212801</v>
      </c>
      <c r="P24" s="5">
        <v>3.0130375049071909</v>
      </c>
      <c r="Q24" s="5">
        <v>3.0549629452278788</v>
      </c>
      <c r="R24" s="5">
        <v>2.6355376679552034</v>
      </c>
      <c r="S24" s="5">
        <v>3.212580410695336</v>
      </c>
      <c r="T24" s="5">
        <v>2.7762513220871017</v>
      </c>
      <c r="U24" s="5">
        <v>8.8403607625145249</v>
      </c>
      <c r="V24" s="5">
        <f>12.5/[1]Sheet1!$F$14</f>
        <v>8.489572477358232</v>
      </c>
      <c r="W24" s="5">
        <f>12.5/[1]Sheet1!$F$15</f>
        <v>8.489572477358232</v>
      </c>
      <c r="X24" s="5">
        <f>10/[1]Sheet1!$F$19</f>
        <v>9.8126132569608142</v>
      </c>
      <c r="Y24" s="5">
        <f>10/[1]Sheet1!$F$20</f>
        <v>7.3443637032415259</v>
      </c>
      <c r="Z24" s="5">
        <f>10/[1]Sheet1!$F$21</f>
        <v>10.30136933370733</v>
      </c>
      <c r="AA24" s="5">
        <f>7.5/[1]Sheet1!$F$31</f>
        <v>14.16337845863209</v>
      </c>
      <c r="AB24" s="5">
        <f>7.5/[1]Sheet1!$F$32</f>
        <v>10.491224429914187</v>
      </c>
      <c r="AC24" s="5">
        <f>7.5/[1]Sheet1!$F$33</f>
        <v>12.8439957122145</v>
      </c>
    </row>
    <row r="25" spans="1:29" x14ac:dyDescent="0.2">
      <c r="A25" t="s">
        <v>277</v>
      </c>
      <c r="B25" t="s">
        <v>245</v>
      </c>
      <c r="C25" t="s">
        <v>257</v>
      </c>
      <c r="D25">
        <v>937.21999418600001</v>
      </c>
      <c r="E25" s="5">
        <f t="shared" si="0"/>
        <v>6248.1332945733338</v>
      </c>
      <c r="F25" s="5">
        <f t="shared" si="1"/>
        <v>6.2481332945733339</v>
      </c>
      <c r="G25" s="5">
        <f t="shared" si="2"/>
        <v>2.4007170290409601</v>
      </c>
    </row>
    <row r="26" spans="1:29" x14ac:dyDescent="0.2">
      <c r="A26" t="s">
        <v>277</v>
      </c>
      <c r="B26" t="s">
        <v>246</v>
      </c>
      <c r="C26" t="s">
        <v>258</v>
      </c>
      <c r="D26">
        <v>995.67296959099997</v>
      </c>
      <c r="E26" s="5">
        <f t="shared" si="0"/>
        <v>6637.8197972733333</v>
      </c>
      <c r="F26" s="5">
        <f t="shared" si="1"/>
        <v>6.637819797273333</v>
      </c>
      <c r="G26" s="5">
        <f t="shared" si="2"/>
        <v>2.2597781286803933</v>
      </c>
      <c r="I26" s="7" t="s">
        <v>280</v>
      </c>
      <c r="J26" s="8">
        <f>5/$F$18</f>
        <v>3.8204967091883621</v>
      </c>
      <c r="L26" s="7" t="s">
        <v>245</v>
      </c>
      <c r="M26" s="7" t="s">
        <v>280</v>
      </c>
      <c r="N26" s="7">
        <v>10</v>
      </c>
      <c r="O26" s="8">
        <v>7.6115594979932846</v>
      </c>
    </row>
    <row r="27" spans="1:29" x14ac:dyDescent="0.2">
      <c r="A27" t="s">
        <v>277</v>
      </c>
      <c r="B27" t="s">
        <v>247</v>
      </c>
      <c r="C27" t="s">
        <v>259</v>
      </c>
      <c r="D27">
        <v>982.00863767800001</v>
      </c>
      <c r="E27" s="5">
        <f t="shared" si="0"/>
        <v>6546.7242511866671</v>
      </c>
      <c r="F27" s="5">
        <f t="shared" si="1"/>
        <v>6.5467242511866672</v>
      </c>
      <c r="G27" s="5">
        <f t="shared" si="2"/>
        <v>2.2912222089209089</v>
      </c>
      <c r="I27" s="7" t="s">
        <v>280</v>
      </c>
      <c r="J27" s="8">
        <f>10/$F$18</f>
        <v>7.6409934183767243</v>
      </c>
      <c r="L27" s="7" t="s">
        <v>246</v>
      </c>
      <c r="M27" s="7" t="s">
        <v>280</v>
      </c>
      <c r="N27" s="7">
        <v>10</v>
      </c>
      <c r="O27" s="8">
        <v>6.9186261000919353</v>
      </c>
    </row>
    <row r="28" spans="1:29" x14ac:dyDescent="0.2">
      <c r="A28" t="s">
        <v>277</v>
      </c>
      <c r="B28" t="s">
        <v>248</v>
      </c>
      <c r="C28" t="s">
        <v>260</v>
      </c>
      <c r="D28">
        <v>564.48738478099995</v>
      </c>
      <c r="E28" s="5">
        <f t="shared" si="0"/>
        <v>3763.249231873333</v>
      </c>
      <c r="F28" s="5">
        <f t="shared" si="1"/>
        <v>3.763249231873333</v>
      </c>
      <c r="G28" s="5">
        <f t="shared" si="2"/>
        <v>3.9859172421947324</v>
      </c>
      <c r="I28" s="7" t="s">
        <v>280</v>
      </c>
      <c r="J28" s="8">
        <f>15/$F$18</f>
        <v>11.461490127565087</v>
      </c>
      <c r="L28" s="7" t="s">
        <v>247</v>
      </c>
      <c r="M28" s="7" t="s">
        <v>280</v>
      </c>
      <c r="N28" s="7">
        <v>10</v>
      </c>
      <c r="O28" s="8">
        <v>5.8014023154403098</v>
      </c>
    </row>
    <row r="29" spans="1:29" x14ac:dyDescent="0.2">
      <c r="A29" t="s">
        <v>277</v>
      </c>
      <c r="B29" t="s">
        <v>249</v>
      </c>
      <c r="C29" t="s">
        <v>261</v>
      </c>
      <c r="D29">
        <v>589.53865995499996</v>
      </c>
      <c r="E29" s="5">
        <f t="shared" si="0"/>
        <v>3930.2577330333334</v>
      </c>
      <c r="F29" s="5">
        <f t="shared" si="1"/>
        <v>3.9302577330333333</v>
      </c>
      <c r="G29" s="5">
        <f t="shared" si="2"/>
        <v>3.8165436006719977</v>
      </c>
      <c r="I29" s="7" t="s">
        <v>281</v>
      </c>
      <c r="J29" s="8">
        <f>5/$F$24</f>
        <v>1.3923000754935524</v>
      </c>
      <c r="L29" s="7" t="s">
        <v>245</v>
      </c>
      <c r="M29" s="7" t="s">
        <v>281</v>
      </c>
      <c r="N29" s="7">
        <v>10</v>
      </c>
      <c r="O29" s="8">
        <v>1.52512351712078</v>
      </c>
    </row>
    <row r="30" spans="1:29" x14ac:dyDescent="0.2">
      <c r="A30" t="s">
        <v>277</v>
      </c>
      <c r="B30" t="s">
        <v>250</v>
      </c>
      <c r="C30" t="s">
        <v>262</v>
      </c>
      <c r="D30">
        <v>425.56667699899998</v>
      </c>
      <c r="E30" s="5">
        <f t="shared" si="0"/>
        <v>2837.1111799933333</v>
      </c>
      <c r="F30" s="5">
        <f t="shared" si="1"/>
        <v>2.8371111799933333</v>
      </c>
      <c r="G30" s="5">
        <f t="shared" si="2"/>
        <v>5.2870680943970791</v>
      </c>
      <c r="I30" s="7" t="s">
        <v>281</v>
      </c>
      <c r="J30" s="8">
        <f>10/$F$24</f>
        <v>2.7846001509871048</v>
      </c>
      <c r="L30" s="7" t="s">
        <v>246</v>
      </c>
      <c r="M30" s="7" t="s">
        <v>281</v>
      </c>
      <c r="N30" s="7">
        <v>10</v>
      </c>
      <c r="O30" s="8">
        <v>1.936067763196714</v>
      </c>
    </row>
    <row r="31" spans="1:29" x14ac:dyDescent="0.2">
      <c r="A31" t="s">
        <v>278</v>
      </c>
      <c r="B31" t="s">
        <v>245</v>
      </c>
      <c r="C31" t="s">
        <v>263</v>
      </c>
      <c r="D31">
        <v>853.71574360600005</v>
      </c>
      <c r="E31" s="5">
        <f t="shared" si="0"/>
        <v>5691.4382907066674</v>
      </c>
      <c r="F31" s="5">
        <f t="shared" si="1"/>
        <v>5.6914382907066674</v>
      </c>
      <c r="G31" s="5">
        <f t="shared" si="2"/>
        <v>2.6355376679552034</v>
      </c>
      <c r="I31" s="7" t="s">
        <v>281</v>
      </c>
      <c r="J31" s="8">
        <f>15/$F$24</f>
        <v>4.1769002264806572</v>
      </c>
      <c r="L31" s="7" t="s">
        <v>247</v>
      </c>
      <c r="M31" s="7" t="s">
        <v>281</v>
      </c>
      <c r="N31" s="7">
        <v>10</v>
      </c>
      <c r="O31" s="8">
        <v>1.7904589528274157</v>
      </c>
    </row>
    <row r="32" spans="1:29" x14ac:dyDescent="0.2">
      <c r="A32" t="s">
        <v>278</v>
      </c>
      <c r="B32" t="s">
        <v>246</v>
      </c>
      <c r="C32" t="s">
        <v>264</v>
      </c>
      <c r="D32">
        <v>700.37157436099994</v>
      </c>
      <c r="E32" s="5">
        <f t="shared" si="0"/>
        <v>4669.1438290733331</v>
      </c>
      <c r="F32" s="5">
        <f t="shared" si="1"/>
        <v>4.6691438290733327</v>
      </c>
      <c r="G32" s="5">
        <f t="shared" si="2"/>
        <v>3.212580410695336</v>
      </c>
      <c r="I32" s="7" t="s">
        <v>277</v>
      </c>
      <c r="J32" s="8">
        <f>5/$F$30</f>
        <v>1.762356031465693</v>
      </c>
      <c r="L32" s="7" t="s">
        <v>245</v>
      </c>
      <c r="M32" s="7" t="s">
        <v>277</v>
      </c>
      <c r="N32" s="7">
        <v>20</v>
      </c>
      <c r="O32" s="8">
        <v>3.2009560387212801</v>
      </c>
    </row>
    <row r="33" spans="1:15" x14ac:dyDescent="0.2">
      <c r="A33" t="s">
        <v>278</v>
      </c>
      <c r="B33" t="s">
        <v>247</v>
      </c>
      <c r="C33" t="s">
        <v>265</v>
      </c>
      <c r="D33">
        <v>810.44535921500005</v>
      </c>
      <c r="E33" s="5">
        <f t="shared" si="0"/>
        <v>5402.969061433334</v>
      </c>
      <c r="F33" s="5">
        <f t="shared" si="1"/>
        <v>5.4029690614333337</v>
      </c>
      <c r="G33" s="5">
        <f t="shared" si="2"/>
        <v>2.7762513220871017</v>
      </c>
      <c r="I33" s="7" t="s">
        <v>277</v>
      </c>
      <c r="J33" s="8">
        <f>10/$F$30</f>
        <v>3.5247120629313859</v>
      </c>
      <c r="L33" s="7" t="s">
        <v>246</v>
      </c>
      <c r="M33" s="7" t="s">
        <v>277</v>
      </c>
      <c r="N33" s="7">
        <v>20</v>
      </c>
      <c r="O33" s="8">
        <v>3.0130375049071909</v>
      </c>
    </row>
    <row r="34" spans="1:15" x14ac:dyDescent="0.2">
      <c r="A34" t="s">
        <v>278</v>
      </c>
      <c r="B34" t="s">
        <v>248</v>
      </c>
      <c r="C34" t="s">
        <v>266</v>
      </c>
      <c r="D34">
        <v>547.02740511499997</v>
      </c>
      <c r="E34" s="5">
        <f t="shared" si="0"/>
        <v>3646.8493674333331</v>
      </c>
      <c r="F34" s="5">
        <f t="shared" si="1"/>
        <v>3.6468493674333331</v>
      </c>
      <c r="G34" s="5">
        <f t="shared" si="2"/>
        <v>4.1131394496167681</v>
      </c>
      <c r="I34" s="7" t="s">
        <v>277</v>
      </c>
      <c r="J34" s="8">
        <f>15/$F$30</f>
        <v>5.2870680943970791</v>
      </c>
      <c r="L34" s="7" t="s">
        <v>247</v>
      </c>
      <c r="M34" s="7" t="s">
        <v>277</v>
      </c>
      <c r="N34" s="7">
        <v>20</v>
      </c>
      <c r="O34" s="8">
        <v>3.0549629452278788</v>
      </c>
    </row>
    <row r="35" spans="1:15" x14ac:dyDescent="0.2">
      <c r="A35" t="s">
        <v>278</v>
      </c>
      <c r="B35" t="s">
        <v>249</v>
      </c>
      <c r="C35" t="s">
        <v>267</v>
      </c>
      <c r="D35">
        <v>540.95436870900005</v>
      </c>
      <c r="E35" s="5">
        <f t="shared" si="0"/>
        <v>3606.3624580600003</v>
      </c>
      <c r="F35" s="5">
        <f t="shared" si="1"/>
        <v>3.6063624580600004</v>
      </c>
      <c r="G35" s="5">
        <f t="shared" si="2"/>
        <v>4.1593157023016127</v>
      </c>
      <c r="I35" s="7" t="s">
        <v>278</v>
      </c>
      <c r="J35" s="8">
        <f>5/$F$36</f>
        <v>2.2423459924709737</v>
      </c>
      <c r="L35" s="7" t="s">
        <v>245</v>
      </c>
      <c r="M35" s="7" t="s">
        <v>278</v>
      </c>
      <c r="N35" s="7">
        <v>15</v>
      </c>
      <c r="O35" s="8">
        <v>2.6355376679552034</v>
      </c>
    </row>
    <row r="36" spans="1:15" x14ac:dyDescent="0.2">
      <c r="A36" t="s">
        <v>278</v>
      </c>
      <c r="B36" t="s">
        <v>250</v>
      </c>
      <c r="C36" t="s">
        <v>268</v>
      </c>
      <c r="D36">
        <v>334.47113091300002</v>
      </c>
      <c r="E36" s="5">
        <f t="shared" si="0"/>
        <v>2229.8075394200005</v>
      </c>
      <c r="F36" s="5">
        <f t="shared" si="1"/>
        <v>2.2298075394200003</v>
      </c>
      <c r="G36" s="5">
        <f t="shared" si="2"/>
        <v>6.7270379774129205</v>
      </c>
      <c r="I36" s="7" t="s">
        <v>278</v>
      </c>
      <c r="J36" s="8">
        <f>10/$F$36</f>
        <v>4.4846919849419473</v>
      </c>
      <c r="L36" s="7" t="s">
        <v>246</v>
      </c>
      <c r="M36" s="7" t="s">
        <v>278</v>
      </c>
      <c r="N36" s="7">
        <v>15</v>
      </c>
      <c r="O36" s="8">
        <v>3.212580410695336</v>
      </c>
    </row>
    <row r="37" spans="1:15" x14ac:dyDescent="0.2">
      <c r="D37">
        <v>-722.72521555000003</v>
      </c>
      <c r="I37" s="7" t="s">
        <v>278</v>
      </c>
      <c r="J37" s="8">
        <f>15/$F$36</f>
        <v>6.7270379774129205</v>
      </c>
      <c r="L37" s="7" t="s">
        <v>247</v>
      </c>
      <c r="M37" s="7" t="s">
        <v>278</v>
      </c>
      <c r="N37" s="7">
        <v>15</v>
      </c>
      <c r="O37" s="8">
        <v>2.7762513220871017</v>
      </c>
    </row>
    <row r="38" spans="1:15" x14ac:dyDescent="0.2">
      <c r="D38">
        <v>-722.72521555000003</v>
      </c>
      <c r="L38" s="7" t="s">
        <v>245</v>
      </c>
      <c r="M38" s="7" t="s">
        <v>246</v>
      </c>
      <c r="N38" s="7">
        <v>12.5</v>
      </c>
      <c r="O38" s="8">
        <v>8.8403607625145249</v>
      </c>
    </row>
    <row r="39" spans="1:15" x14ac:dyDescent="0.2">
      <c r="D39">
        <v>-722.72521555000003</v>
      </c>
      <c r="L39" s="7" t="s">
        <v>246</v>
      </c>
      <c r="M39" s="7" t="s">
        <v>246</v>
      </c>
      <c r="N39" s="7">
        <v>12.5</v>
      </c>
      <c r="O39" s="8">
        <f>12.5/[1]Sheet1!$F$14</f>
        <v>8.489572477358232</v>
      </c>
    </row>
    <row r="40" spans="1:15" x14ac:dyDescent="0.2">
      <c r="D40">
        <v>-722.72521555000003</v>
      </c>
      <c r="L40" s="7" t="s">
        <v>247</v>
      </c>
      <c r="M40" s="7" t="s">
        <v>246</v>
      </c>
      <c r="N40" s="7">
        <v>12.5</v>
      </c>
      <c r="O40" s="8">
        <f>12.5/[1]Sheet1!$F$15</f>
        <v>8.489572477358232</v>
      </c>
    </row>
    <row r="41" spans="1:15" x14ac:dyDescent="0.2">
      <c r="D41">
        <v>-722.72521555000003</v>
      </c>
      <c r="L41" s="7" t="s">
        <v>245</v>
      </c>
      <c r="M41" s="7" t="s">
        <v>283</v>
      </c>
      <c r="N41" s="7">
        <v>10</v>
      </c>
      <c r="O41" s="8">
        <f>10/[1]Sheet1!$F$19</f>
        <v>9.8126132569608142</v>
      </c>
    </row>
    <row r="42" spans="1:15" x14ac:dyDescent="0.2">
      <c r="D42">
        <v>-722.72521555000003</v>
      </c>
      <c r="L42" s="7" t="s">
        <v>246</v>
      </c>
      <c r="M42" s="7" t="s">
        <v>283</v>
      </c>
      <c r="N42" s="7">
        <v>10</v>
      </c>
      <c r="O42" s="8">
        <f>10/[1]Sheet1!$F$20</f>
        <v>7.3443637032415259</v>
      </c>
    </row>
    <row r="43" spans="1:15" x14ac:dyDescent="0.2">
      <c r="D43">
        <v>-722.72521555000003</v>
      </c>
      <c r="L43" s="7" t="s">
        <v>247</v>
      </c>
      <c r="M43" s="7" t="s">
        <v>283</v>
      </c>
      <c r="N43" s="7">
        <v>10</v>
      </c>
      <c r="O43" s="8">
        <f>10/[1]Sheet1!$F$21</f>
        <v>10.30136933370733</v>
      </c>
    </row>
    <row r="44" spans="1:15" x14ac:dyDescent="0.2">
      <c r="D44">
        <v>-722.72521555000003</v>
      </c>
      <c r="L44" s="7" t="s">
        <v>245</v>
      </c>
      <c r="M44" s="7" t="s">
        <v>284</v>
      </c>
      <c r="N44" s="7">
        <v>7.5</v>
      </c>
      <c r="O44" s="8">
        <f>7.5/[1]Sheet1!$F$31</f>
        <v>14.16337845863209</v>
      </c>
    </row>
    <row r="45" spans="1:15" x14ac:dyDescent="0.2">
      <c r="D45">
        <v>-722.72521555000003</v>
      </c>
      <c r="L45" s="7" t="s">
        <v>246</v>
      </c>
      <c r="M45" s="7" t="s">
        <v>284</v>
      </c>
      <c r="N45" s="7">
        <v>7.5</v>
      </c>
      <c r="O45" s="8">
        <f>7.5/[1]Sheet1!$F$32</f>
        <v>10.491224429914187</v>
      </c>
    </row>
    <row r="46" spans="1:15" x14ac:dyDescent="0.2">
      <c r="D46">
        <v>-722.72521555000003</v>
      </c>
      <c r="L46" s="7" t="s">
        <v>247</v>
      </c>
      <c r="M46" s="7" t="s">
        <v>284</v>
      </c>
      <c r="N46" s="7">
        <v>7.5</v>
      </c>
      <c r="O46" s="8">
        <f>7.5/[1]Sheet1!$F$33</f>
        <v>12.8439957122145</v>
      </c>
    </row>
    <row r="47" spans="1:15" x14ac:dyDescent="0.2">
      <c r="D47">
        <v>-722.72521555000003</v>
      </c>
    </row>
    <row r="48" spans="1:15" x14ac:dyDescent="0.2">
      <c r="D48">
        <v>-722.72521555000003</v>
      </c>
    </row>
    <row r="49" spans="4:4" x14ac:dyDescent="0.2">
      <c r="D49">
        <v>-722.72521555000003</v>
      </c>
    </row>
    <row r="50" spans="4:4" x14ac:dyDescent="0.2">
      <c r="D50">
        <v>-722.72521555000003</v>
      </c>
    </row>
  </sheetData>
  <pageMargins left="0.7" right="0.7" top="0.75" bottom="0.75" header="0.3" footer="0.3"/>
  <pageSetup scale="27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>
      <selection activeCell="D34" sqref="D34"/>
    </sheetView>
  </sheetViews>
  <sheetFormatPr baseColWidth="10" defaultRowHeight="16" x14ac:dyDescent="0.2"/>
  <sheetData>
    <row r="1" spans="1:7" x14ac:dyDescent="0.2">
      <c r="A1">
        <v>2000</v>
      </c>
      <c r="B1">
        <v>1.377</v>
      </c>
      <c r="C1">
        <v>1.3029999999999999</v>
      </c>
    </row>
    <row r="2" spans="1:7" x14ac:dyDescent="0.2">
      <c r="A2">
        <v>1500</v>
      </c>
      <c r="B2">
        <v>1.0069999999999999</v>
      </c>
      <c r="C2">
        <v>0.94799999999999995</v>
      </c>
    </row>
    <row r="3" spans="1:7" x14ac:dyDescent="0.2">
      <c r="A3">
        <v>1000</v>
      </c>
      <c r="B3">
        <v>0.70599999999999996</v>
      </c>
      <c r="C3">
        <v>0.69099999999999995</v>
      </c>
    </row>
    <row r="4" spans="1:7" x14ac:dyDescent="0.2">
      <c r="A4">
        <v>750</v>
      </c>
      <c r="B4">
        <v>0.53500000000000003</v>
      </c>
      <c r="C4">
        <v>0.502</v>
      </c>
    </row>
    <row r="5" spans="1:7" x14ac:dyDescent="0.2">
      <c r="A5">
        <v>500</v>
      </c>
      <c r="B5">
        <v>0.375</v>
      </c>
      <c r="C5">
        <v>0.35099999999999998</v>
      </c>
    </row>
    <row r="6" spans="1:7" x14ac:dyDescent="0.2">
      <c r="A6">
        <v>250</v>
      </c>
      <c r="B6">
        <v>0.185</v>
      </c>
      <c r="C6">
        <v>0.159</v>
      </c>
    </row>
    <row r="7" spans="1:7" x14ac:dyDescent="0.2">
      <c r="A7">
        <v>125</v>
      </c>
      <c r="B7">
        <v>0.107</v>
      </c>
      <c r="C7">
        <v>8.5999999999999993E-2</v>
      </c>
    </row>
    <row r="8" spans="1:7" x14ac:dyDescent="0.2">
      <c r="A8">
        <v>25</v>
      </c>
      <c r="B8">
        <v>4.5999999999999999E-2</v>
      </c>
      <c r="C8">
        <v>2.5999999999999999E-2</v>
      </c>
    </row>
    <row r="9" spans="1:7" x14ac:dyDescent="0.2">
      <c r="A9">
        <v>0</v>
      </c>
      <c r="B9">
        <v>8.0000000000000002E-3</v>
      </c>
      <c r="C9">
        <v>8.0000000000000002E-3</v>
      </c>
    </row>
    <row r="10" spans="1:7" x14ac:dyDescent="0.2">
      <c r="A10" t="s">
        <v>244</v>
      </c>
      <c r="B10">
        <v>1E-3</v>
      </c>
      <c r="C10">
        <v>-1E-3</v>
      </c>
      <c r="D10" t="s">
        <v>269</v>
      </c>
      <c r="E10" t="s">
        <v>270</v>
      </c>
      <c r="F10" t="s">
        <v>271</v>
      </c>
      <c r="G10" t="s">
        <v>272</v>
      </c>
    </row>
    <row r="11" spans="1:7" x14ac:dyDescent="0.2">
      <c r="A11" t="s">
        <v>245</v>
      </c>
      <c r="B11">
        <v>0.13600000000000001</v>
      </c>
      <c r="C11">
        <v>0.159</v>
      </c>
      <c r="D11">
        <f>1485*(AVERAGE(B11:C11))-33.758</f>
        <v>185.27950000000001</v>
      </c>
      <c r="E11" s="5">
        <f>D11*(10/1.5)</f>
        <v>1235.1966666666667</v>
      </c>
      <c r="F11" s="5">
        <f>E11/1000</f>
        <v>1.2351966666666667</v>
      </c>
      <c r="G11" s="5">
        <f>15/F11</f>
        <v>12.143815154941588</v>
      </c>
    </row>
    <row r="12" spans="1:7" x14ac:dyDescent="0.2">
      <c r="A12" t="s">
        <v>246</v>
      </c>
      <c r="B12">
        <v>0.16900000000000001</v>
      </c>
      <c r="C12">
        <v>0.152</v>
      </c>
      <c r="D12">
        <f t="shared" ref="D12:D34" si="0">1485*(AVERAGE(B12:C12))-33.758</f>
        <v>204.58449999999999</v>
      </c>
      <c r="E12" s="5">
        <f t="shared" ref="E12:E34" si="1">D12*(10/1.5)</f>
        <v>1363.8966666666668</v>
      </c>
      <c r="F12" s="5">
        <f t="shared" ref="F12:F34" si="2">E12/1000</f>
        <v>1.3638966666666668</v>
      </c>
      <c r="G12" s="5">
        <f t="shared" ref="G12:G34" si="3">15/F12</f>
        <v>10.99790062296997</v>
      </c>
    </row>
    <row r="13" spans="1:7" x14ac:dyDescent="0.2">
      <c r="A13" t="s">
        <v>247</v>
      </c>
      <c r="B13">
        <v>0.17599999999999999</v>
      </c>
      <c r="C13">
        <v>0.2</v>
      </c>
      <c r="D13">
        <f t="shared" si="0"/>
        <v>245.422</v>
      </c>
      <c r="E13" s="5">
        <f t="shared" si="1"/>
        <v>1636.1466666666668</v>
      </c>
      <c r="F13" s="5">
        <f t="shared" si="2"/>
        <v>1.6361466666666669</v>
      </c>
      <c r="G13" s="5">
        <f t="shared" si="3"/>
        <v>9.1678822599440952</v>
      </c>
    </row>
    <row r="14" spans="1:7" x14ac:dyDescent="0.2">
      <c r="A14" t="s">
        <v>248</v>
      </c>
      <c r="B14">
        <v>0.108</v>
      </c>
      <c r="C14">
        <v>0.113</v>
      </c>
      <c r="D14">
        <f t="shared" si="0"/>
        <v>130.33449999999999</v>
      </c>
      <c r="E14" s="5">
        <f t="shared" si="1"/>
        <v>868.89666666666665</v>
      </c>
      <c r="F14" s="5">
        <f t="shared" si="2"/>
        <v>0.86889666666666665</v>
      </c>
      <c r="G14" s="5">
        <f t="shared" si="3"/>
        <v>17.263272579401463</v>
      </c>
    </row>
    <row r="15" spans="1:7" x14ac:dyDescent="0.2">
      <c r="A15" t="s">
        <v>249</v>
      </c>
      <c r="B15">
        <v>0.10299999999999999</v>
      </c>
      <c r="C15">
        <v>9.5000000000000001E-2</v>
      </c>
      <c r="D15">
        <f t="shared" si="0"/>
        <v>113.25700000000001</v>
      </c>
      <c r="E15" s="5">
        <f t="shared" si="1"/>
        <v>755.04666666666674</v>
      </c>
      <c r="F15" s="5">
        <f t="shared" si="2"/>
        <v>0.75504666666666675</v>
      </c>
      <c r="G15" s="5">
        <f t="shared" si="3"/>
        <v>19.866321728458281</v>
      </c>
    </row>
    <row r="16" spans="1:7" x14ac:dyDescent="0.2">
      <c r="A16" t="s">
        <v>250</v>
      </c>
      <c r="B16">
        <v>0.13900000000000001</v>
      </c>
      <c r="C16">
        <v>0.155</v>
      </c>
      <c r="D16">
        <f t="shared" si="0"/>
        <v>184.53700000000001</v>
      </c>
      <c r="E16" s="5">
        <f t="shared" si="1"/>
        <v>1230.2466666666667</v>
      </c>
      <c r="F16" s="5">
        <f t="shared" si="2"/>
        <v>1.2302466666666667</v>
      </c>
      <c r="G16" s="5">
        <f t="shared" si="3"/>
        <v>12.192676807361124</v>
      </c>
    </row>
    <row r="17" spans="1:7" x14ac:dyDescent="0.2">
      <c r="A17" t="s">
        <v>251</v>
      </c>
      <c r="B17">
        <v>0.68400000000000005</v>
      </c>
      <c r="C17">
        <v>0.64700000000000002</v>
      </c>
      <c r="D17">
        <f t="shared" si="0"/>
        <v>954.50949999999989</v>
      </c>
      <c r="E17" s="5">
        <f t="shared" si="1"/>
        <v>6363.3966666666665</v>
      </c>
      <c r="F17" s="5">
        <f t="shared" si="2"/>
        <v>6.3633966666666666</v>
      </c>
      <c r="G17" s="5">
        <f t="shared" si="3"/>
        <v>2.3572316462015306</v>
      </c>
    </row>
    <row r="18" spans="1:7" x14ac:dyDescent="0.2">
      <c r="A18" t="s">
        <v>252</v>
      </c>
      <c r="B18">
        <v>0.53200000000000003</v>
      </c>
      <c r="C18">
        <v>0.52400000000000002</v>
      </c>
      <c r="D18">
        <f t="shared" si="0"/>
        <v>750.322</v>
      </c>
      <c r="E18" s="5">
        <f t="shared" si="1"/>
        <v>5002.1466666666665</v>
      </c>
      <c r="F18" s="5">
        <f t="shared" si="2"/>
        <v>5.0021466666666665</v>
      </c>
      <c r="G18" s="5">
        <f t="shared" si="3"/>
        <v>2.9987125527440219</v>
      </c>
    </row>
    <row r="19" spans="1:7" x14ac:dyDescent="0.2">
      <c r="A19" t="s">
        <v>253</v>
      </c>
      <c r="B19">
        <v>0.57999999999999996</v>
      </c>
      <c r="C19">
        <v>0.55900000000000005</v>
      </c>
      <c r="D19">
        <f t="shared" si="0"/>
        <v>811.94949999999994</v>
      </c>
      <c r="E19" s="5">
        <f t="shared" si="1"/>
        <v>5412.9966666666669</v>
      </c>
      <c r="F19" s="5">
        <f t="shared" si="2"/>
        <v>5.4129966666666665</v>
      </c>
      <c r="G19" s="5">
        <f t="shared" si="3"/>
        <v>2.7711083016862501</v>
      </c>
    </row>
    <row r="20" spans="1:7" x14ac:dyDescent="0.2">
      <c r="A20" t="s">
        <v>254</v>
      </c>
      <c r="B20">
        <v>0.28299999999999997</v>
      </c>
      <c r="C20">
        <v>0.28699999999999998</v>
      </c>
      <c r="D20">
        <f t="shared" si="0"/>
        <v>389.46699999999998</v>
      </c>
      <c r="E20" s="5">
        <f t="shared" si="1"/>
        <v>2596.4466666666667</v>
      </c>
      <c r="F20" s="5">
        <f t="shared" si="2"/>
        <v>2.5964466666666666</v>
      </c>
      <c r="G20" s="5">
        <f t="shared" si="3"/>
        <v>5.7771261750032741</v>
      </c>
    </row>
    <row r="21" spans="1:7" x14ac:dyDescent="0.2">
      <c r="A21" t="s">
        <v>255</v>
      </c>
      <c r="B21">
        <v>0.28299999999999997</v>
      </c>
      <c r="C21">
        <v>0.26</v>
      </c>
      <c r="D21">
        <f t="shared" si="0"/>
        <v>369.41949999999997</v>
      </c>
      <c r="E21" s="5">
        <f t="shared" si="1"/>
        <v>2462.7966666666666</v>
      </c>
      <c r="F21" s="5">
        <f t="shared" si="2"/>
        <v>2.4627966666666667</v>
      </c>
      <c r="G21" s="5">
        <f t="shared" si="3"/>
        <v>6.0906367963791839</v>
      </c>
    </row>
    <row r="22" spans="1:7" x14ac:dyDescent="0.2">
      <c r="A22" t="s">
        <v>256</v>
      </c>
      <c r="B22">
        <v>0.38</v>
      </c>
      <c r="C22">
        <v>0.36499999999999999</v>
      </c>
      <c r="D22">
        <f t="shared" si="0"/>
        <v>519.40449999999998</v>
      </c>
      <c r="E22" s="5">
        <f t="shared" si="1"/>
        <v>3462.6966666666667</v>
      </c>
      <c r="F22" s="5">
        <f t="shared" si="2"/>
        <v>3.4626966666666665</v>
      </c>
      <c r="G22" s="5">
        <f t="shared" si="3"/>
        <v>4.3318839170627133</v>
      </c>
    </row>
    <row r="23" spans="1:7" x14ac:dyDescent="0.2">
      <c r="A23" t="s">
        <v>257</v>
      </c>
      <c r="B23">
        <v>0.626</v>
      </c>
      <c r="C23">
        <v>0.64400000000000002</v>
      </c>
      <c r="D23">
        <f t="shared" si="0"/>
        <v>909.21699999999998</v>
      </c>
      <c r="E23" s="5">
        <f t="shared" si="1"/>
        <v>6061.4466666666667</v>
      </c>
      <c r="F23" s="5">
        <f t="shared" si="2"/>
        <v>6.0614466666666669</v>
      </c>
      <c r="G23" s="5">
        <f t="shared" si="3"/>
        <v>2.4746567651066798</v>
      </c>
    </row>
    <row r="24" spans="1:7" x14ac:dyDescent="0.2">
      <c r="A24" t="s">
        <v>258</v>
      </c>
      <c r="B24">
        <v>0.66700000000000004</v>
      </c>
      <c r="C24">
        <v>0.68</v>
      </c>
      <c r="D24">
        <f t="shared" si="0"/>
        <v>966.3895</v>
      </c>
      <c r="E24" s="5">
        <f t="shared" si="1"/>
        <v>6442.5966666666673</v>
      </c>
      <c r="F24" s="5">
        <f t="shared" si="2"/>
        <v>6.4425966666666676</v>
      </c>
      <c r="G24" s="5">
        <f t="shared" si="3"/>
        <v>2.3282537734526292</v>
      </c>
    </row>
    <row r="25" spans="1:7" x14ac:dyDescent="0.2">
      <c r="A25" t="s">
        <v>259</v>
      </c>
      <c r="B25">
        <v>0.64900000000000002</v>
      </c>
      <c r="C25">
        <v>0.68</v>
      </c>
      <c r="D25">
        <f t="shared" si="0"/>
        <v>953.0245000000001</v>
      </c>
      <c r="E25" s="5">
        <f t="shared" si="1"/>
        <v>6353.4966666666678</v>
      </c>
      <c r="F25" s="5">
        <f t="shared" si="2"/>
        <v>6.3534966666666675</v>
      </c>
      <c r="G25" s="5">
        <f t="shared" si="3"/>
        <v>2.36090467768667</v>
      </c>
    </row>
    <row r="26" spans="1:7" x14ac:dyDescent="0.2">
      <c r="A26" t="s">
        <v>260</v>
      </c>
      <c r="B26">
        <v>0.38900000000000001</v>
      </c>
      <c r="C26">
        <v>0.39</v>
      </c>
      <c r="D26">
        <f t="shared" si="0"/>
        <v>544.64949999999999</v>
      </c>
      <c r="E26" s="5">
        <f t="shared" si="1"/>
        <v>3630.9966666666669</v>
      </c>
      <c r="F26" s="5">
        <f t="shared" si="2"/>
        <v>3.6309966666666669</v>
      </c>
      <c r="G26" s="5">
        <f t="shared" si="3"/>
        <v>4.1310971551428946</v>
      </c>
    </row>
    <row r="27" spans="1:7" x14ac:dyDescent="0.2">
      <c r="A27" t="s">
        <v>261</v>
      </c>
      <c r="B27">
        <v>0.38300000000000001</v>
      </c>
      <c r="C27">
        <v>0.42899999999999999</v>
      </c>
      <c r="D27">
        <f t="shared" si="0"/>
        <v>569.15200000000004</v>
      </c>
      <c r="E27" s="5">
        <f t="shared" si="1"/>
        <v>3794.3466666666673</v>
      </c>
      <c r="F27" s="5">
        <f t="shared" si="2"/>
        <v>3.7943466666666672</v>
      </c>
      <c r="G27" s="5">
        <f t="shared" si="3"/>
        <v>3.9532497469920158</v>
      </c>
    </row>
    <row r="28" spans="1:7" x14ac:dyDescent="0.2">
      <c r="A28" t="s">
        <v>262</v>
      </c>
      <c r="B28">
        <v>0.28999999999999998</v>
      </c>
      <c r="C28">
        <v>0.30599999999999999</v>
      </c>
      <c r="D28">
        <f t="shared" si="0"/>
        <v>408.77199999999999</v>
      </c>
      <c r="E28" s="5">
        <f t="shared" si="1"/>
        <v>2725.1466666666665</v>
      </c>
      <c r="F28" s="5">
        <f t="shared" si="2"/>
        <v>2.7251466666666664</v>
      </c>
      <c r="G28" s="5">
        <f t="shared" si="3"/>
        <v>5.5042909005509193</v>
      </c>
    </row>
    <row r="29" spans="1:7" x14ac:dyDescent="0.2">
      <c r="A29" t="s">
        <v>263</v>
      </c>
      <c r="B29">
        <v>0.59299999999999997</v>
      </c>
      <c r="C29">
        <v>0.56699999999999995</v>
      </c>
      <c r="D29">
        <f t="shared" si="0"/>
        <v>827.54199999999992</v>
      </c>
      <c r="E29" s="5">
        <f t="shared" si="1"/>
        <v>5516.9466666666667</v>
      </c>
      <c r="F29" s="5">
        <f t="shared" si="2"/>
        <v>5.5169466666666667</v>
      </c>
      <c r="G29" s="5">
        <f t="shared" si="3"/>
        <v>2.7188952343204331</v>
      </c>
    </row>
    <row r="30" spans="1:7" x14ac:dyDescent="0.2">
      <c r="A30" t="s">
        <v>264</v>
      </c>
      <c r="B30">
        <v>0.47399999999999998</v>
      </c>
      <c r="C30">
        <v>0.48399999999999999</v>
      </c>
      <c r="D30">
        <f t="shared" si="0"/>
        <v>677.5569999999999</v>
      </c>
      <c r="E30" s="5">
        <f t="shared" si="1"/>
        <v>4517.0466666666662</v>
      </c>
      <c r="F30" s="5">
        <f t="shared" si="2"/>
        <v>4.5170466666666664</v>
      </c>
      <c r="G30" s="5">
        <f t="shared" si="3"/>
        <v>3.3207538258773801</v>
      </c>
    </row>
    <row r="31" spans="1:7" x14ac:dyDescent="0.2">
      <c r="A31" t="s">
        <v>265</v>
      </c>
      <c r="B31">
        <v>0.52700000000000002</v>
      </c>
      <c r="C31">
        <v>0.57599999999999996</v>
      </c>
      <c r="D31">
        <f t="shared" si="0"/>
        <v>785.21949999999993</v>
      </c>
      <c r="E31" s="5">
        <f t="shared" si="1"/>
        <v>5234.7966666666662</v>
      </c>
      <c r="F31" s="5">
        <f t="shared" si="2"/>
        <v>5.2347966666666661</v>
      </c>
      <c r="G31" s="5">
        <f t="shared" si="3"/>
        <v>2.8654408098627204</v>
      </c>
    </row>
    <row r="32" spans="1:7" x14ac:dyDescent="0.2">
      <c r="A32" t="s">
        <v>266</v>
      </c>
      <c r="B32">
        <v>0.38200000000000001</v>
      </c>
      <c r="C32">
        <v>0.374</v>
      </c>
      <c r="D32">
        <f t="shared" si="0"/>
        <v>527.572</v>
      </c>
      <c r="E32" s="5">
        <f t="shared" si="1"/>
        <v>3517.146666666667</v>
      </c>
      <c r="F32" s="5">
        <f t="shared" si="2"/>
        <v>3.5171466666666671</v>
      </c>
      <c r="G32" s="5">
        <f t="shared" si="3"/>
        <v>4.2648207258914415</v>
      </c>
    </row>
    <row r="33" spans="1:7" x14ac:dyDescent="0.2">
      <c r="A33" t="s">
        <v>267</v>
      </c>
      <c r="B33">
        <v>0.374</v>
      </c>
      <c r="C33">
        <v>0.374</v>
      </c>
      <c r="D33">
        <f t="shared" si="0"/>
        <v>521.63199999999995</v>
      </c>
      <c r="E33" s="5">
        <f t="shared" si="1"/>
        <v>3477.5466666666666</v>
      </c>
      <c r="F33" s="5">
        <f t="shared" si="2"/>
        <v>3.4775466666666666</v>
      </c>
      <c r="G33" s="5">
        <f t="shared" si="3"/>
        <v>4.3133856818600087</v>
      </c>
    </row>
    <row r="34" spans="1:7" x14ac:dyDescent="0.2">
      <c r="A34" t="s">
        <v>268</v>
      </c>
      <c r="B34">
        <v>0.23799999999999999</v>
      </c>
      <c r="C34">
        <v>0.23799999999999999</v>
      </c>
      <c r="D34">
        <f t="shared" si="0"/>
        <v>319.67200000000003</v>
      </c>
      <c r="E34" s="5">
        <f t="shared" si="1"/>
        <v>2131.146666666667</v>
      </c>
      <c r="F34" s="5">
        <f t="shared" si="2"/>
        <v>2.131146666666667</v>
      </c>
      <c r="G34" s="5">
        <f t="shared" si="3"/>
        <v>7.0384644260366862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01_20_21_Plate_1</vt:lpstr>
      <vt:lpstr>Sheet2</vt:lpstr>
      <vt:lpstr>Self_computed_curve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Aryal</dc:creator>
  <cp:lastModifiedBy>Sameer Aryal</cp:lastModifiedBy>
  <cp:lastPrinted>2021-01-28T18:08:13Z</cp:lastPrinted>
  <dcterms:created xsi:type="dcterms:W3CDTF">2021-01-20T20:18:58Z</dcterms:created>
  <dcterms:modified xsi:type="dcterms:W3CDTF">2021-02-21T20:49:00Z</dcterms:modified>
</cp:coreProperties>
</file>