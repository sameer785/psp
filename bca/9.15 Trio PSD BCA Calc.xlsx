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yal/Google Drive/psp/bca/"/>
    </mc:Choice>
  </mc:AlternateContent>
  <xr:revisionPtr revIDLastSave="0" documentId="8_{A007639B-2262-4C4D-A9A5-08213FFD3F0F}" xr6:coauthVersionLast="36" xr6:coauthVersionMax="36" xr10:uidLastSave="{00000000-0000-0000-0000-000000000000}"/>
  <bookViews>
    <workbookView xWindow="2380" yWindow="2960" windowWidth="26040" windowHeight="13440" xr2:uid="{BEC54CD2-091B-2D40-B971-183BD68E9DB3}"/>
  </bookViews>
  <sheets>
    <sheet name="Sheet1" sheetId="1" r:id="rId1"/>
  </sheets>
  <definedNames>
    <definedName name="_xlnm.Print_Area" localSheetId="0">Sheet1!$A$1:$M$37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1" l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20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K2" i="1"/>
  <c r="J2" i="1"/>
</calcChain>
</file>

<file path=xl/sharedStrings.xml><?xml version="1.0" encoding="utf-8"?>
<sst xmlns="http://schemas.openxmlformats.org/spreadsheetml/2006/main" count="136" uniqueCount="85">
  <si>
    <t>ID</t>
  </si>
  <si>
    <t>AL</t>
  </si>
  <si>
    <t>BL</t>
  </si>
  <si>
    <t>CL</t>
  </si>
  <si>
    <t>DL</t>
  </si>
  <si>
    <t>EL</t>
  </si>
  <si>
    <t>FL</t>
  </si>
  <si>
    <t>GL</t>
  </si>
  <si>
    <t>HL</t>
  </si>
  <si>
    <t>IL</t>
  </si>
  <si>
    <t>JL</t>
  </si>
  <si>
    <t>KL</t>
  </si>
  <si>
    <t>LL</t>
  </si>
  <si>
    <t>ML</t>
  </si>
  <si>
    <t>NL</t>
  </si>
  <si>
    <t>OL</t>
  </si>
  <si>
    <t>PL</t>
  </si>
  <si>
    <t>QL</t>
  </si>
  <si>
    <t>RL</t>
  </si>
  <si>
    <t>AP</t>
  </si>
  <si>
    <t>BP</t>
  </si>
  <si>
    <t>CP</t>
  </si>
  <si>
    <t>DP</t>
  </si>
  <si>
    <t>EF</t>
  </si>
  <si>
    <t>FP</t>
  </si>
  <si>
    <t>GP</t>
  </si>
  <si>
    <t>HP</t>
  </si>
  <si>
    <t>IP</t>
  </si>
  <si>
    <t>JP</t>
  </si>
  <si>
    <t>KP</t>
  </si>
  <si>
    <t>LP</t>
  </si>
  <si>
    <t>MP</t>
  </si>
  <si>
    <t>NP</t>
  </si>
  <si>
    <t>OP</t>
  </si>
  <si>
    <t>PP</t>
  </si>
  <si>
    <t>QP</t>
  </si>
  <si>
    <t>RP</t>
  </si>
  <si>
    <t>Letter</t>
  </si>
  <si>
    <t>Genotype</t>
  </si>
  <si>
    <t>A</t>
  </si>
  <si>
    <t>957-1</t>
  </si>
  <si>
    <t>WT--Het</t>
  </si>
  <si>
    <t>B</t>
  </si>
  <si>
    <t>957-4</t>
  </si>
  <si>
    <t>Het--WT</t>
  </si>
  <si>
    <t>C</t>
  </si>
  <si>
    <t>982-4</t>
  </si>
  <si>
    <t>D</t>
  </si>
  <si>
    <t>982-1</t>
  </si>
  <si>
    <t>E</t>
  </si>
  <si>
    <t>1026-3</t>
  </si>
  <si>
    <t>F</t>
  </si>
  <si>
    <t>1026-4</t>
  </si>
  <si>
    <t>G</t>
  </si>
  <si>
    <t>970-6</t>
  </si>
  <si>
    <t>H</t>
  </si>
  <si>
    <t>970-4</t>
  </si>
  <si>
    <t>I</t>
  </si>
  <si>
    <t>1187-3</t>
  </si>
  <si>
    <t>WT--KO</t>
  </si>
  <si>
    <t>J</t>
  </si>
  <si>
    <t>1187-2</t>
  </si>
  <si>
    <t>KO--WT</t>
  </si>
  <si>
    <t>K</t>
  </si>
  <si>
    <t>1187-5</t>
  </si>
  <si>
    <t>L</t>
  </si>
  <si>
    <t>1187-6</t>
  </si>
  <si>
    <t>M</t>
  </si>
  <si>
    <t>1203-5</t>
  </si>
  <si>
    <t>N</t>
  </si>
  <si>
    <t>1203-4</t>
  </si>
  <si>
    <t>O</t>
  </si>
  <si>
    <t>1237-7</t>
  </si>
  <si>
    <t>P</t>
  </si>
  <si>
    <t>1237-1</t>
  </si>
  <si>
    <t>Q</t>
  </si>
  <si>
    <t>1119-2</t>
  </si>
  <si>
    <t>R</t>
  </si>
  <si>
    <t>1248-6</t>
  </si>
  <si>
    <t>P = PSD</t>
  </si>
  <si>
    <t>L = lysate</t>
  </si>
  <si>
    <t>Concentration in ug ml</t>
  </si>
  <si>
    <t>In ug ul</t>
  </si>
  <si>
    <t>To load 20ug</t>
  </si>
  <si>
    <t>To load 7.5ug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</si>
</sst>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F92-8B68-1E4E-BD05-0C9BBF4888C7}">
  <sheetPr>
    <pageSetUpPr fitToPage="1"/>
  </sheetPr>
  <dimension ref="A1:M37"/>
  <sheetViews>
    <sheetView tabSelected="1" workbookViewId="0">
      <selection activeCell="L12" sqref="L12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81</v>
      </c>
      <c r="C1" s="1"/>
      <c r="D1" s="1" t="s">
        <v>80</v>
      </c>
      <c r="E1" s="1"/>
      <c r="F1" s="1"/>
      <c r="G1" s="1"/>
      <c r="H1" s="1"/>
      <c r="I1" s="1"/>
      <c r="J1" s="6" t="s">
        <v>82</v>
      </c>
      <c r="K1" s="6" t="s">
        <v>83</v>
      </c>
      <c r="L1" s="6"/>
      <c r="M1" s="6" t="s">
        <v>84</v>
      </c>
    </row>
    <row r="2" spans="1:13" x14ac:dyDescent="0.2">
      <c r="A2" s="2" t="s">
        <v>1</v>
      </c>
      <c r="B2" s="1">
        <v>2337.8218505526747</v>
      </c>
      <c r="C2" s="1"/>
      <c r="D2" s="1" t="s">
        <v>79</v>
      </c>
      <c r="E2" s="1"/>
      <c r="F2" s="3" t="s">
        <v>37</v>
      </c>
      <c r="G2" s="4" t="s">
        <v>0</v>
      </c>
      <c r="H2" s="4" t="s">
        <v>38</v>
      </c>
      <c r="I2" s="1"/>
      <c r="J2" s="6">
        <f>B2/1000</f>
        <v>2.3378218505526749</v>
      </c>
      <c r="K2" s="6">
        <f>20/J2</f>
        <v>8.5549717979031978</v>
      </c>
      <c r="L2" s="5" t="s">
        <v>41</v>
      </c>
      <c r="M2" s="6"/>
    </row>
    <row r="3" spans="1:13" x14ac:dyDescent="0.2">
      <c r="A3" s="2" t="s">
        <v>2</v>
      </c>
      <c r="B3" s="1">
        <v>2828.64356343594</v>
      </c>
      <c r="C3" s="1"/>
      <c r="D3" s="1"/>
      <c r="E3" s="1"/>
      <c r="F3" s="1" t="s">
        <v>39</v>
      </c>
      <c r="G3" s="5" t="s">
        <v>40</v>
      </c>
      <c r="H3" s="5" t="s">
        <v>41</v>
      </c>
      <c r="I3" s="1"/>
      <c r="J3" s="6">
        <f t="shared" ref="J3:J37" si="0">B3/1000</f>
        <v>2.8286435634359401</v>
      </c>
      <c r="K3" s="6">
        <f t="shared" ref="K3:K19" si="1">20/J3</f>
        <v>7.0705267565440781</v>
      </c>
      <c r="L3" s="5" t="s">
        <v>44</v>
      </c>
      <c r="M3" s="6"/>
    </row>
    <row r="4" spans="1:13" x14ac:dyDescent="0.2">
      <c r="A4" s="2" t="s">
        <v>3</v>
      </c>
      <c r="B4" s="1">
        <v>2933.0737151132325</v>
      </c>
      <c r="C4" s="1"/>
      <c r="D4" s="1"/>
      <c r="E4" s="1"/>
      <c r="F4" s="1" t="s">
        <v>42</v>
      </c>
      <c r="G4" s="5" t="s">
        <v>43</v>
      </c>
      <c r="H4" s="5" t="s">
        <v>44</v>
      </c>
      <c r="I4" s="1"/>
      <c r="J4" s="6">
        <f t="shared" si="0"/>
        <v>2.9330737151132324</v>
      </c>
      <c r="K4" s="6">
        <f t="shared" si="1"/>
        <v>6.8187853230370967</v>
      </c>
      <c r="L4" s="5" t="s">
        <v>41</v>
      </c>
      <c r="M4" s="6"/>
    </row>
    <row r="5" spans="1:13" x14ac:dyDescent="0.2">
      <c r="A5" s="2" t="s">
        <v>4</v>
      </c>
      <c r="B5" s="1">
        <v>2828.64356343594</v>
      </c>
      <c r="C5" s="1"/>
      <c r="D5" s="1"/>
      <c r="E5" s="1"/>
      <c r="F5" s="1" t="s">
        <v>45</v>
      </c>
      <c r="G5" s="5" t="s">
        <v>46</v>
      </c>
      <c r="H5" s="5" t="s">
        <v>41</v>
      </c>
      <c r="I5" s="1"/>
      <c r="J5" s="6">
        <f t="shared" si="0"/>
        <v>2.8286435634359401</v>
      </c>
      <c r="K5" s="6">
        <f t="shared" si="1"/>
        <v>7.0705267565440781</v>
      </c>
      <c r="L5" s="5" t="s">
        <v>44</v>
      </c>
      <c r="M5" s="6"/>
    </row>
    <row r="6" spans="1:13" x14ac:dyDescent="0.2">
      <c r="A6" s="2" t="s">
        <v>5</v>
      </c>
      <c r="B6" s="1">
        <v>2275.1637595463026</v>
      </c>
      <c r="C6" s="1"/>
      <c r="D6" s="1"/>
      <c r="E6" s="1"/>
      <c r="F6" s="1" t="s">
        <v>47</v>
      </c>
      <c r="G6" s="5" t="s">
        <v>48</v>
      </c>
      <c r="H6" s="5" t="s">
        <v>44</v>
      </c>
      <c r="I6" s="1"/>
      <c r="J6" s="6">
        <f t="shared" si="0"/>
        <v>2.2751637595463028</v>
      </c>
      <c r="K6" s="6">
        <f t="shared" si="1"/>
        <v>8.7905760260475763</v>
      </c>
      <c r="L6" s="5" t="s">
        <v>41</v>
      </c>
      <c r="M6" s="6"/>
    </row>
    <row r="7" spans="1:13" x14ac:dyDescent="0.2">
      <c r="A7" s="2" t="s">
        <v>6</v>
      </c>
      <c r="B7" s="1">
        <v>2076.7464713594472</v>
      </c>
      <c r="C7" s="1"/>
      <c r="D7" s="1"/>
      <c r="E7" s="1"/>
      <c r="F7" s="1" t="s">
        <v>49</v>
      </c>
      <c r="G7" s="5" t="s">
        <v>50</v>
      </c>
      <c r="H7" s="5" t="s">
        <v>41</v>
      </c>
      <c r="I7" s="1"/>
      <c r="J7" s="6">
        <f t="shared" si="0"/>
        <v>2.0767464713594475</v>
      </c>
      <c r="K7" s="6">
        <f t="shared" si="1"/>
        <v>9.6304485288991053</v>
      </c>
      <c r="L7" s="5" t="s">
        <v>44</v>
      </c>
      <c r="M7" s="6"/>
    </row>
    <row r="8" spans="1:13" x14ac:dyDescent="0.2">
      <c r="A8" s="2" t="s">
        <v>7</v>
      </c>
      <c r="B8" s="1">
        <v>3105.3834653807626</v>
      </c>
      <c r="C8" s="1"/>
      <c r="D8" s="1"/>
      <c r="E8" s="1"/>
      <c r="F8" s="1" t="s">
        <v>51</v>
      </c>
      <c r="G8" s="5" t="s">
        <v>52</v>
      </c>
      <c r="H8" s="5" t="s">
        <v>44</v>
      </c>
      <c r="I8" s="1"/>
      <c r="J8" s="6">
        <f t="shared" si="0"/>
        <v>3.1053834653807626</v>
      </c>
      <c r="K8" s="6">
        <f t="shared" si="1"/>
        <v>6.4404284440110926</v>
      </c>
      <c r="L8" s="5" t="s">
        <v>41</v>
      </c>
      <c r="M8" s="6"/>
    </row>
    <row r="9" spans="1:13" x14ac:dyDescent="0.2">
      <c r="A9" s="2" t="s">
        <v>8</v>
      </c>
      <c r="B9" s="1">
        <v>2651.1123055845451</v>
      </c>
      <c r="C9" s="1"/>
      <c r="D9" s="1"/>
      <c r="E9" s="1"/>
      <c r="F9" s="1" t="s">
        <v>53</v>
      </c>
      <c r="G9" s="5" t="s">
        <v>54</v>
      </c>
      <c r="H9" s="5" t="s">
        <v>41</v>
      </c>
      <c r="I9" s="1"/>
      <c r="J9" s="6">
        <f t="shared" si="0"/>
        <v>2.6511123055845451</v>
      </c>
      <c r="K9" s="6">
        <f t="shared" si="1"/>
        <v>7.5440033067894454</v>
      </c>
      <c r="L9" s="5" t="s">
        <v>44</v>
      </c>
      <c r="M9" s="6"/>
    </row>
    <row r="10" spans="1:13" x14ac:dyDescent="0.2">
      <c r="A10" s="2" t="s">
        <v>9</v>
      </c>
      <c r="B10" s="1">
        <v>1377.0644551215976</v>
      </c>
      <c r="C10" s="1"/>
      <c r="D10" s="1"/>
      <c r="E10" s="1"/>
      <c r="F10" s="1" t="s">
        <v>55</v>
      </c>
      <c r="G10" s="5" t="s">
        <v>56</v>
      </c>
      <c r="H10" s="5" t="s">
        <v>44</v>
      </c>
      <c r="I10" s="1"/>
      <c r="J10" s="6">
        <f t="shared" si="0"/>
        <v>1.3770644551215976</v>
      </c>
      <c r="K10" s="6">
        <f t="shared" si="1"/>
        <v>14.523648421550435</v>
      </c>
      <c r="L10" s="5" t="s">
        <v>59</v>
      </c>
      <c r="M10" s="6"/>
    </row>
    <row r="11" spans="1:13" x14ac:dyDescent="0.2">
      <c r="A11" s="2" t="s">
        <v>10</v>
      </c>
      <c r="B11" s="1">
        <v>2452.6950173976975</v>
      </c>
      <c r="C11" s="1"/>
      <c r="D11" s="1"/>
      <c r="E11" s="1"/>
      <c r="F11" s="1" t="s">
        <v>57</v>
      </c>
      <c r="G11" s="5" t="s">
        <v>58</v>
      </c>
      <c r="H11" s="5" t="s">
        <v>59</v>
      </c>
      <c r="I11" s="1"/>
      <c r="J11" s="6">
        <f t="shared" si="0"/>
        <v>2.4526950173976974</v>
      </c>
      <c r="K11" s="6">
        <f t="shared" si="1"/>
        <v>8.1542955231425172</v>
      </c>
      <c r="L11" s="5" t="s">
        <v>62</v>
      </c>
      <c r="M11" s="6"/>
    </row>
    <row r="12" spans="1:13" x14ac:dyDescent="0.2">
      <c r="A12" s="2" t="s">
        <v>11</v>
      </c>
      <c r="B12" s="1">
        <v>2776.4284875972971</v>
      </c>
      <c r="C12" s="1"/>
      <c r="D12" s="1"/>
      <c r="E12" s="1"/>
      <c r="F12" s="1" t="s">
        <v>60</v>
      </c>
      <c r="G12" s="5" t="s">
        <v>61</v>
      </c>
      <c r="H12" s="5" t="s">
        <v>62</v>
      </c>
      <c r="I12" s="1"/>
      <c r="J12" s="6">
        <f t="shared" si="0"/>
        <v>2.7764284875972973</v>
      </c>
      <c r="K12" s="6">
        <f t="shared" si="1"/>
        <v>7.2034990597967345</v>
      </c>
      <c r="L12" s="5" t="s">
        <v>59</v>
      </c>
      <c r="M12" s="6"/>
    </row>
    <row r="13" spans="1:13" x14ac:dyDescent="0.2">
      <c r="A13" s="2" t="s">
        <v>12</v>
      </c>
      <c r="B13" s="1">
        <v>2170.73360786901</v>
      </c>
      <c r="C13" s="1"/>
      <c r="D13" s="1"/>
      <c r="E13" s="1"/>
      <c r="F13" s="1" t="s">
        <v>63</v>
      </c>
      <c r="G13" s="5" t="s">
        <v>64</v>
      </c>
      <c r="H13" s="5" t="s">
        <v>59</v>
      </c>
      <c r="I13" s="1"/>
      <c r="J13" s="6">
        <f t="shared" si="0"/>
        <v>2.17073360786901</v>
      </c>
      <c r="K13" s="6">
        <f t="shared" si="1"/>
        <v>9.2134750793460203</v>
      </c>
      <c r="L13" s="5" t="s">
        <v>62</v>
      </c>
      <c r="M13" s="6"/>
    </row>
    <row r="14" spans="1:13" x14ac:dyDescent="0.2">
      <c r="A14" s="2" t="s">
        <v>13</v>
      </c>
      <c r="B14" s="1">
        <v>1685.1334025696101</v>
      </c>
      <c r="C14" s="1"/>
      <c r="D14" s="1"/>
      <c r="E14" s="1"/>
      <c r="F14" s="1" t="s">
        <v>65</v>
      </c>
      <c r="G14" s="5" t="s">
        <v>66</v>
      </c>
      <c r="H14" s="5" t="s">
        <v>62</v>
      </c>
      <c r="I14" s="1"/>
      <c r="J14" s="6">
        <f t="shared" si="0"/>
        <v>1.6851334025696101</v>
      </c>
      <c r="K14" s="6">
        <f t="shared" si="1"/>
        <v>11.868496565021257</v>
      </c>
      <c r="L14" s="5" t="s">
        <v>59</v>
      </c>
      <c r="M14" s="6"/>
    </row>
    <row r="15" spans="1:13" x14ac:dyDescent="0.2">
      <c r="A15" s="2" t="s">
        <v>14</v>
      </c>
      <c r="B15" s="1">
        <v>1695.5764177373401</v>
      </c>
      <c r="C15" s="1"/>
      <c r="D15" s="1"/>
      <c r="E15" s="1"/>
      <c r="F15" s="1" t="s">
        <v>67</v>
      </c>
      <c r="G15" s="5" t="s">
        <v>68</v>
      </c>
      <c r="H15" s="5" t="s">
        <v>59</v>
      </c>
      <c r="I15" s="1"/>
      <c r="J15" s="6">
        <f t="shared" si="0"/>
        <v>1.69557641773734</v>
      </c>
      <c r="K15" s="6">
        <f t="shared" si="1"/>
        <v>11.795398774588394</v>
      </c>
      <c r="L15" s="5" t="s">
        <v>62</v>
      </c>
      <c r="M15" s="6"/>
    </row>
    <row r="16" spans="1:13" x14ac:dyDescent="0.2">
      <c r="A16" s="2" t="s">
        <v>15</v>
      </c>
      <c r="B16" s="1">
        <v>2343.0433581365396</v>
      </c>
      <c r="C16" s="1"/>
      <c r="D16" s="1"/>
      <c r="E16" s="1"/>
      <c r="F16" s="1" t="s">
        <v>69</v>
      </c>
      <c r="G16" s="5" t="s">
        <v>70</v>
      </c>
      <c r="H16" s="5" t="s">
        <v>62</v>
      </c>
      <c r="I16" s="1"/>
      <c r="J16" s="6">
        <f t="shared" si="0"/>
        <v>2.3430433581365397</v>
      </c>
      <c r="K16" s="6">
        <f t="shared" si="1"/>
        <v>8.5359069137782928</v>
      </c>
      <c r="L16" s="5" t="s">
        <v>59</v>
      </c>
      <c r="M16" s="6"/>
    </row>
    <row r="17" spans="1:13" x14ac:dyDescent="0.2">
      <c r="A17" s="2" t="s">
        <v>16</v>
      </c>
      <c r="B17" s="1">
        <v>1737.3484784082525</v>
      </c>
      <c r="C17" s="1"/>
      <c r="D17" s="1"/>
      <c r="E17" s="1"/>
      <c r="F17" s="1" t="s">
        <v>71</v>
      </c>
      <c r="G17" s="5" t="s">
        <v>72</v>
      </c>
      <c r="H17" s="5" t="s">
        <v>59</v>
      </c>
      <c r="I17" s="1"/>
      <c r="J17" s="6">
        <f t="shared" si="0"/>
        <v>1.7373484784082525</v>
      </c>
      <c r="K17" s="6">
        <f t="shared" si="1"/>
        <v>11.511795272255265</v>
      </c>
      <c r="L17" s="5" t="s">
        <v>62</v>
      </c>
      <c r="M17" s="6"/>
    </row>
    <row r="18" spans="1:13" x14ac:dyDescent="0.2">
      <c r="A18" s="2" t="s">
        <v>17</v>
      </c>
      <c r="B18" s="1">
        <v>985.45138633176009</v>
      </c>
      <c r="C18" s="1"/>
      <c r="D18" s="1"/>
      <c r="E18" s="1"/>
      <c r="F18" s="1" t="s">
        <v>73</v>
      </c>
      <c r="G18" s="5" t="s">
        <v>74</v>
      </c>
      <c r="H18" s="5" t="s">
        <v>62</v>
      </c>
      <c r="I18" s="1"/>
      <c r="J18" s="6">
        <f t="shared" si="0"/>
        <v>0.9854513863317601</v>
      </c>
      <c r="K18" s="6">
        <f t="shared" si="1"/>
        <v>20.295268013623595</v>
      </c>
      <c r="L18" s="5" t="s">
        <v>44</v>
      </c>
      <c r="M18" s="6"/>
    </row>
    <row r="19" spans="1:13" x14ac:dyDescent="0.2">
      <c r="A19" s="2" t="s">
        <v>18</v>
      </c>
      <c r="B19" s="1">
        <v>1711.2409404889277</v>
      </c>
      <c r="C19" s="1"/>
      <c r="D19" s="1"/>
      <c r="E19" s="1"/>
      <c r="F19" s="1" t="s">
        <v>75</v>
      </c>
      <c r="G19" s="5" t="s">
        <v>76</v>
      </c>
      <c r="H19" s="5" t="s">
        <v>44</v>
      </c>
      <c r="I19" s="1"/>
      <c r="J19" s="6">
        <f t="shared" si="0"/>
        <v>1.7112409404889277</v>
      </c>
      <c r="K19" s="6">
        <f t="shared" si="1"/>
        <v>11.687424912990741</v>
      </c>
      <c r="L19" s="5" t="s">
        <v>62</v>
      </c>
      <c r="M19" s="6"/>
    </row>
    <row r="20" spans="1:13" x14ac:dyDescent="0.2">
      <c r="A20" s="2" t="s">
        <v>19</v>
      </c>
      <c r="B20" s="1">
        <v>1157.76113659929</v>
      </c>
      <c r="C20" s="1"/>
      <c r="D20" s="1"/>
      <c r="E20" s="1"/>
      <c r="F20" s="1" t="s">
        <v>77</v>
      </c>
      <c r="G20" s="5" t="s">
        <v>78</v>
      </c>
      <c r="H20" s="5" t="s">
        <v>62</v>
      </c>
      <c r="I20" s="1"/>
      <c r="J20" s="6">
        <f t="shared" si="0"/>
        <v>1.1577611365992899</v>
      </c>
      <c r="K20" s="6"/>
      <c r="L20" s="5" t="s">
        <v>41</v>
      </c>
      <c r="M20" s="6">
        <f>7.5/J20</f>
        <v>6.4780201743771331</v>
      </c>
    </row>
    <row r="21" spans="1:13" x14ac:dyDescent="0.2">
      <c r="A21" s="2" t="s">
        <v>20</v>
      </c>
      <c r="B21" s="1">
        <v>1350.9569172022725</v>
      </c>
      <c r="C21" s="1"/>
      <c r="D21" s="1"/>
      <c r="E21" s="1"/>
      <c r="F21" s="1"/>
      <c r="G21" s="1"/>
      <c r="H21" s="1"/>
      <c r="I21" s="1"/>
      <c r="J21" s="6">
        <f t="shared" si="0"/>
        <v>1.3509569172022724</v>
      </c>
      <c r="K21" s="6"/>
      <c r="L21" s="5" t="s">
        <v>44</v>
      </c>
      <c r="M21" s="6">
        <f t="shared" ref="M21:M37" si="2">7.5/J21</f>
        <v>5.5516204140187693</v>
      </c>
    </row>
    <row r="22" spans="1:13" x14ac:dyDescent="0.2">
      <c r="A22" s="2" t="s">
        <v>21</v>
      </c>
      <c r="B22" s="1">
        <v>854.91369673514259</v>
      </c>
      <c r="C22" s="1"/>
      <c r="D22" s="1"/>
      <c r="E22" s="1"/>
      <c r="F22" s="1"/>
      <c r="G22" s="1"/>
      <c r="H22" s="1"/>
      <c r="I22" s="1"/>
      <c r="J22" s="6">
        <f t="shared" si="0"/>
        <v>0.85491369673514261</v>
      </c>
      <c r="K22" s="6"/>
      <c r="L22" s="5" t="s">
        <v>41</v>
      </c>
      <c r="M22" s="6">
        <f t="shared" si="2"/>
        <v>8.7728153480778133</v>
      </c>
    </row>
    <row r="23" spans="1:13" x14ac:dyDescent="0.2">
      <c r="A23" s="2" t="s">
        <v>22</v>
      </c>
      <c r="B23" s="1">
        <v>1277.8558110281701</v>
      </c>
      <c r="C23" s="1"/>
      <c r="D23" s="1"/>
      <c r="E23" s="1"/>
      <c r="F23" s="1"/>
      <c r="G23" s="1"/>
      <c r="H23" s="1"/>
      <c r="I23" s="1"/>
      <c r="J23" s="6">
        <f t="shared" si="0"/>
        <v>1.2778558110281701</v>
      </c>
      <c r="K23" s="6"/>
      <c r="L23" s="5" t="s">
        <v>44</v>
      </c>
      <c r="M23" s="6">
        <f t="shared" si="2"/>
        <v>5.8692067878655703</v>
      </c>
    </row>
    <row r="24" spans="1:13" x14ac:dyDescent="0.2">
      <c r="A24" s="2" t="s">
        <v>23</v>
      </c>
      <c r="B24" s="1">
        <v>1027.2234470026724</v>
      </c>
      <c r="C24" s="1"/>
      <c r="D24" s="1"/>
      <c r="E24" s="1"/>
      <c r="F24" s="1"/>
      <c r="G24" s="1"/>
      <c r="H24" s="1"/>
      <c r="I24" s="1"/>
      <c r="J24" s="6">
        <f t="shared" si="0"/>
        <v>1.0272234470026724</v>
      </c>
      <c r="K24" s="6"/>
      <c r="L24" s="5" t="s">
        <v>41</v>
      </c>
      <c r="M24" s="6">
        <f t="shared" si="2"/>
        <v>7.301235210201046</v>
      </c>
    </row>
    <row r="25" spans="1:13" x14ac:dyDescent="0.2">
      <c r="A25" s="2" t="s">
        <v>24</v>
      </c>
      <c r="B25" s="1">
        <v>1147.31812143156</v>
      </c>
      <c r="C25" s="1"/>
      <c r="D25" s="1"/>
      <c r="E25" s="1"/>
      <c r="F25" s="1"/>
      <c r="G25" s="1"/>
      <c r="H25" s="1"/>
      <c r="I25" s="1"/>
      <c r="J25" s="6">
        <f t="shared" si="0"/>
        <v>1.14731812143156</v>
      </c>
      <c r="K25" s="6"/>
      <c r="L25" s="5" t="s">
        <v>44</v>
      </c>
      <c r="M25" s="6">
        <f t="shared" si="2"/>
        <v>6.5369838233200008</v>
      </c>
    </row>
    <row r="26" spans="1:13" x14ac:dyDescent="0.2">
      <c r="A26" s="2" t="s">
        <v>25</v>
      </c>
      <c r="B26" s="1">
        <v>1439.7225461279702</v>
      </c>
      <c r="C26" s="1"/>
      <c r="D26" s="1"/>
      <c r="E26" s="1"/>
      <c r="F26" s="1"/>
      <c r="G26" s="1"/>
      <c r="H26" s="1"/>
      <c r="I26" s="1"/>
      <c r="J26" s="6">
        <f t="shared" si="0"/>
        <v>1.4397225461279701</v>
      </c>
      <c r="K26" s="6"/>
      <c r="L26" s="5" t="s">
        <v>41</v>
      </c>
      <c r="M26" s="6">
        <f t="shared" si="2"/>
        <v>5.209337049121519</v>
      </c>
    </row>
    <row r="27" spans="1:13" x14ac:dyDescent="0.2">
      <c r="A27" s="2" t="s">
        <v>26</v>
      </c>
      <c r="B27" s="1">
        <v>1883.5506907564577</v>
      </c>
      <c r="C27" s="1"/>
      <c r="D27" s="1"/>
      <c r="E27" s="1"/>
      <c r="F27" s="1"/>
      <c r="G27" s="1"/>
      <c r="H27" s="1"/>
      <c r="I27" s="1"/>
      <c r="J27" s="6">
        <f t="shared" si="0"/>
        <v>1.8835506907564576</v>
      </c>
      <c r="K27" s="6"/>
      <c r="L27" s="5" t="s">
        <v>44</v>
      </c>
      <c r="M27" s="6">
        <f t="shared" si="2"/>
        <v>3.981841336581128</v>
      </c>
    </row>
    <row r="28" spans="1:13" x14ac:dyDescent="0.2">
      <c r="A28" s="2" t="s">
        <v>27</v>
      </c>
      <c r="B28" s="1">
        <v>1225.6407351895275</v>
      </c>
      <c r="C28" s="1"/>
      <c r="D28" s="1"/>
      <c r="E28" s="1"/>
      <c r="F28" s="1"/>
      <c r="G28" s="1"/>
      <c r="H28" s="1"/>
      <c r="I28" s="1"/>
      <c r="J28" s="6">
        <f t="shared" si="0"/>
        <v>1.2256407351895275</v>
      </c>
      <c r="K28" s="6"/>
      <c r="L28" s="5" t="s">
        <v>59</v>
      </c>
      <c r="M28" s="6">
        <f t="shared" si="2"/>
        <v>6.1192483120595966</v>
      </c>
    </row>
    <row r="29" spans="1:13" x14ac:dyDescent="0.2">
      <c r="A29" s="2" t="s">
        <v>28</v>
      </c>
      <c r="B29" s="1">
        <v>938.45781807697495</v>
      </c>
      <c r="C29" s="1"/>
      <c r="D29" s="1"/>
      <c r="E29" s="1"/>
      <c r="F29" s="1"/>
      <c r="G29" s="1"/>
      <c r="H29" s="1"/>
      <c r="I29" s="1"/>
      <c r="J29" s="6">
        <f t="shared" si="0"/>
        <v>0.93845781807697493</v>
      </c>
      <c r="K29" s="6"/>
      <c r="L29" s="5" t="s">
        <v>62</v>
      </c>
      <c r="M29" s="6">
        <f t="shared" si="2"/>
        <v>7.9918349610731561</v>
      </c>
    </row>
    <row r="30" spans="1:13" x14ac:dyDescent="0.2">
      <c r="A30" s="2" t="s">
        <v>29</v>
      </c>
      <c r="B30" s="1">
        <v>1502.3806371343499</v>
      </c>
      <c r="C30" s="1"/>
      <c r="D30" s="1"/>
      <c r="E30" s="1"/>
      <c r="F30" s="1"/>
      <c r="G30" s="1"/>
      <c r="H30" s="1"/>
      <c r="I30" s="1"/>
      <c r="J30" s="6">
        <f t="shared" si="0"/>
        <v>1.5023806371343498</v>
      </c>
      <c r="K30" s="6"/>
      <c r="L30" s="5" t="s">
        <v>59</v>
      </c>
      <c r="M30" s="6">
        <f t="shared" si="2"/>
        <v>4.992077117224798</v>
      </c>
    </row>
    <row r="31" spans="1:13" x14ac:dyDescent="0.2">
      <c r="A31" s="2" t="s">
        <v>30</v>
      </c>
      <c r="B31" s="1">
        <v>907.12877257379239</v>
      </c>
      <c r="C31" s="1"/>
      <c r="D31" s="1"/>
      <c r="E31" s="1"/>
      <c r="F31" s="1"/>
      <c r="G31" s="1"/>
      <c r="H31" s="1"/>
      <c r="I31" s="1"/>
      <c r="J31" s="6">
        <f t="shared" si="0"/>
        <v>0.90712877257379243</v>
      </c>
      <c r="K31" s="6"/>
      <c r="L31" s="5" t="s">
        <v>62</v>
      </c>
      <c r="M31" s="6">
        <f t="shared" si="2"/>
        <v>8.2678449044453561</v>
      </c>
    </row>
    <row r="32" spans="1:13" x14ac:dyDescent="0.2">
      <c r="A32" s="2" t="s">
        <v>31</v>
      </c>
      <c r="B32" s="1">
        <v>938.45781807697495</v>
      </c>
      <c r="C32" s="1"/>
      <c r="D32" s="1"/>
      <c r="E32" s="1"/>
      <c r="F32" s="1"/>
      <c r="G32" s="1"/>
      <c r="H32" s="1"/>
      <c r="I32" s="1"/>
      <c r="J32" s="6">
        <f t="shared" si="0"/>
        <v>0.93845781807697493</v>
      </c>
      <c r="K32" s="6"/>
      <c r="L32" s="5" t="s">
        <v>59</v>
      </c>
      <c r="M32" s="6">
        <f t="shared" si="2"/>
        <v>7.9918349610731561</v>
      </c>
    </row>
    <row r="33" spans="1:13" x14ac:dyDescent="0.2">
      <c r="A33" s="2" t="s">
        <v>32</v>
      </c>
      <c r="B33" s="1">
        <v>1251.7482731088526</v>
      </c>
      <c r="C33" s="1"/>
      <c r="D33" s="1"/>
      <c r="E33" s="1"/>
      <c r="F33" s="1"/>
      <c r="G33" s="1"/>
      <c r="H33" s="1"/>
      <c r="I33" s="1"/>
      <c r="J33" s="6">
        <f t="shared" si="0"/>
        <v>1.2517482731088525</v>
      </c>
      <c r="K33" s="6"/>
      <c r="L33" s="5" t="s">
        <v>62</v>
      </c>
      <c r="M33" s="6">
        <f t="shared" si="2"/>
        <v>5.9916200094871606</v>
      </c>
    </row>
    <row r="34" spans="1:13" x14ac:dyDescent="0.2">
      <c r="A34" s="2" t="s">
        <v>33</v>
      </c>
      <c r="B34" s="1">
        <v>1580.7032508923176</v>
      </c>
      <c r="C34" s="1"/>
      <c r="D34" s="1"/>
      <c r="E34" s="1"/>
      <c r="F34" s="1"/>
      <c r="G34" s="1"/>
      <c r="H34" s="1"/>
      <c r="I34" s="1"/>
      <c r="J34" s="6">
        <f t="shared" si="0"/>
        <v>1.5807032508923176</v>
      </c>
      <c r="K34" s="6"/>
      <c r="L34" s="5" t="s">
        <v>59</v>
      </c>
      <c r="M34" s="6">
        <f t="shared" si="2"/>
        <v>4.744723587913291</v>
      </c>
    </row>
    <row r="35" spans="1:13" x14ac:dyDescent="0.2">
      <c r="A35" s="2" t="s">
        <v>34</v>
      </c>
      <c r="B35" s="1">
        <v>593.83831754191726</v>
      </c>
      <c r="C35" s="1"/>
      <c r="D35" s="1"/>
      <c r="E35" s="1"/>
      <c r="F35" s="1"/>
      <c r="G35" s="1"/>
      <c r="H35" s="1"/>
      <c r="I35" s="1"/>
      <c r="J35" s="6">
        <f t="shared" si="0"/>
        <v>0.59383831754191729</v>
      </c>
      <c r="K35" s="6"/>
      <c r="L35" s="5" t="s">
        <v>62</v>
      </c>
      <c r="M35" s="6">
        <f t="shared" si="2"/>
        <v>12.629700338376358</v>
      </c>
    </row>
    <row r="36" spans="1:13" x14ac:dyDescent="0.2">
      <c r="A36" s="2" t="s">
        <v>35</v>
      </c>
      <c r="B36" s="1">
        <v>1810.4495845823551</v>
      </c>
      <c r="C36" s="1"/>
      <c r="D36" s="1"/>
      <c r="E36" s="1"/>
      <c r="F36" s="1"/>
      <c r="G36" s="1"/>
      <c r="H36" s="1"/>
      <c r="I36" s="1"/>
      <c r="J36" s="6">
        <f t="shared" si="0"/>
        <v>1.8104495845823552</v>
      </c>
      <c r="K36" s="6"/>
      <c r="L36" s="5" t="s">
        <v>44</v>
      </c>
      <c r="M36" s="6">
        <f t="shared" si="2"/>
        <v>4.1426174271128033</v>
      </c>
    </row>
    <row r="37" spans="1:13" x14ac:dyDescent="0.2">
      <c r="A37" s="2" t="s">
        <v>36</v>
      </c>
      <c r="B37" s="1">
        <v>703.48997680307252</v>
      </c>
      <c r="C37" s="1"/>
      <c r="D37" s="1"/>
      <c r="E37" s="1"/>
      <c r="F37" s="1"/>
      <c r="G37" s="1"/>
      <c r="H37" s="1"/>
      <c r="I37" s="1"/>
      <c r="J37" s="6">
        <f t="shared" si="0"/>
        <v>0.70348997680307257</v>
      </c>
      <c r="K37" s="6"/>
      <c r="L37" s="5" t="s">
        <v>62</v>
      </c>
      <c r="M37" s="6">
        <f t="shared" si="2"/>
        <v>10.66113270594539</v>
      </c>
    </row>
  </sheetData>
  <pageMargins left="0.7" right="0.7" top="0.75" bottom="0.75" header="0.3" footer="0.3"/>
  <pageSetup scale="6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2020-11-11T17:38:41Z</cp:lastPrinted>
  <dcterms:created xsi:type="dcterms:W3CDTF">2020-11-11T15:25:13Z</dcterms:created>
  <dcterms:modified xsi:type="dcterms:W3CDTF">2020-11-11T21:41:03Z</dcterms:modified>
</cp:coreProperties>
</file>