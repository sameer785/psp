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yal/Google Drive/psp/bca/"/>
    </mc:Choice>
  </mc:AlternateContent>
  <xr:revisionPtr revIDLastSave="0" documentId="13_ncr:1_{7EC24AA0-8BCA-A846-A398-709E8D34C142}" xr6:coauthVersionLast="36" xr6:coauthVersionMax="36" xr10:uidLastSave="{00000000-0000-0000-0000-000000000000}"/>
  <bookViews>
    <workbookView xWindow="7380" yWindow="2580" windowWidth="27640" windowHeight="16940" activeTab="1" xr2:uid="{00000000-000D-0000-FFFF-FFFF00000000}"/>
  </bookViews>
  <sheets>
    <sheet name="SA_BCA_02_17_21_Plate_2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H19" i="2" l="1"/>
  <c r="H18" i="2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  <c r="C3" i="1" l="1"/>
  <c r="C26" i="1"/>
  <c r="C44" i="1"/>
  <c r="C62" i="1"/>
  <c r="C80" i="1"/>
  <c r="E106" i="1"/>
</calcChain>
</file>

<file path=xl/sharedStrings.xml><?xml version="1.0" encoding="utf-8"?>
<sst xmlns="http://schemas.openxmlformats.org/spreadsheetml/2006/main" count="522" uniqueCount="249">
  <si>
    <t xml:space="preserve">Plate information </t>
  </si>
  <si>
    <t>Plate</t>
  </si>
  <si>
    <t>Repeat</t>
  </si>
  <si>
    <t>Barcode</t>
  </si>
  <si>
    <t>Formula</t>
  </si>
  <si>
    <t>Inside temperature at start</t>
  </si>
  <si>
    <t>Inside temperature at end</t>
  </si>
  <si>
    <t>Ambient temperature at start</t>
  </si>
  <si>
    <t>Ambient temperature at end</t>
  </si>
  <si>
    <t>Measurement date</t>
  </si>
  <si>
    <t>Calc 1: Blank correction (Blanks on each plate) = X - B where X = Meas B B = Average of Blanks</t>
  </si>
  <si>
    <t>N/A</t>
  </si>
  <si>
    <t>Background information</t>
  </si>
  <si>
    <t>Label</t>
  </si>
  <si>
    <t>Result</t>
  </si>
  <si>
    <t>Signal</t>
  </si>
  <si>
    <t>Flashes/Time</t>
  </si>
  <si>
    <t>Meastime</t>
  </si>
  <si>
    <t>MeasInfo</t>
  </si>
  <si>
    <t>Meas B</t>
  </si>
  <si>
    <t>De=1st Ex=Btm Em=N/A</t>
  </si>
  <si>
    <t>Calculated results: Calc 1: Blank correction (Blanks on each plate) = X - B where X = Meas B B = Average of Blanks</t>
  </si>
  <si>
    <t>A</t>
  </si>
  <si>
    <t>B</t>
  </si>
  <si>
    <t>C</t>
  </si>
  <si>
    <t>D</t>
  </si>
  <si>
    <t>E</t>
  </si>
  <si>
    <t>F</t>
  </si>
  <si>
    <t>G</t>
  </si>
  <si>
    <t>H</t>
  </si>
  <si>
    <t xml:space="preserve">Curve information - Curve quality data </t>
  </si>
  <si>
    <t>Slope at 50% binding</t>
  </si>
  <si>
    <t>Intercept</t>
  </si>
  <si>
    <t>ED-20</t>
  </si>
  <si>
    <t>ED-50</t>
  </si>
  <si>
    <t>ED-80</t>
  </si>
  <si>
    <t>Correlation coefficient (R)</t>
  </si>
  <si>
    <t>Forced through origo</t>
  </si>
  <si>
    <t>Fitting status</t>
  </si>
  <si>
    <t>Calc 2: Curve fitting (blank corrected) = Curve fitting UNK calculation (blank corrected) where Measurement: Calc1: Blank correction (Blanks on each plate)</t>
  </si>
  <si>
    <t>No</t>
  </si>
  <si>
    <t>OK</t>
  </si>
  <si>
    <t>Calculated results: Calc 2: Curve fitting (blank corrected) = Curve fitting UNK calculation (blank corrected) where Measurement: Calc1: Blank correction (Blanks on each plate)</t>
  </si>
  <si>
    <t>Calc 3: Average of sample type = Average of samples where Measurement: Calc2: Curve fitting (blank corrected)  Sample: All samples</t>
  </si>
  <si>
    <t>Calculated results: Calc 3: Average of sample type = Average of samples where Measurement: Calc2: Curve fitting (blank corrected)  Sample: All samples</t>
  </si>
  <si>
    <t>Calc 4: %CV of sample type = 100 * SD / AVG where SD = Standard deviation of samples AVG = Average of samples Measurement: Calc2: Curve fitting (blank corrected)  Sample: All samples</t>
  </si>
  <si>
    <t>Calculated results: Calc 4: %CV of sample type = 100 * SD / AVG where SD = Standard deviation of samples AVG = Average of samples Measurement: Calc2: Curve fitting (blank corrected)  Sample: All samples</t>
  </si>
  <si>
    <t>Meas</t>
  </si>
  <si>
    <t>ScanX</t>
  </si>
  <si>
    <t>ScanY</t>
  </si>
  <si>
    <t>Measinfo</t>
  </si>
  <si>
    <t>Kinetics</t>
  </si>
  <si>
    <t>Results for Meas B -  (A)</t>
  </si>
  <si>
    <t xml:space="preserve">Basic assay information </t>
  </si>
  <si>
    <t xml:space="preserve">Assay ID: </t>
  </si>
  <si>
    <t xml:space="preserve">Assay Started: </t>
  </si>
  <si>
    <t xml:space="preserve">Assay Finished: </t>
  </si>
  <si>
    <t xml:space="preserve">Assay Exported: </t>
  </si>
  <si>
    <t xml:space="preserve">Assay Started By: </t>
  </si>
  <si>
    <t xml:space="preserve">Protocol ID: </t>
  </si>
  <si>
    <t xml:space="preserve">Protocol Name: </t>
  </si>
  <si>
    <t>Sameer Aryal BCA Gold</t>
  </si>
  <si>
    <t xml:space="preserve">Serial#: </t>
  </si>
  <si>
    <t>Protocol information</t>
  </si>
  <si>
    <t>Protocol:</t>
  </si>
  <si>
    <t>Protocol name</t>
  </si>
  <si>
    <t>Number of assay repeats</t>
  </si>
  <si>
    <t>Start assay repeat each</t>
  </si>
  <si>
    <t>Number of plate repeats</t>
  </si>
  <si>
    <t>Start plate repeat each</t>
  </si>
  <si>
    <t>Mode of measurement</t>
  </si>
  <si>
    <t>By Rows  bi-directional</t>
  </si>
  <si>
    <t>Rotated plate</t>
  </si>
  <si>
    <t>Soft move</t>
  </si>
  <si>
    <t>Protocol notes</t>
  </si>
  <si>
    <t xml:space="preserve"> </t>
  </si>
  <si>
    <t>Plate type:</t>
  </si>
  <si>
    <t>Name of the plate type</t>
  </si>
  <si>
    <t>96 General</t>
  </si>
  <si>
    <t>Number of rows</t>
  </si>
  <si>
    <t>Number of columns</t>
  </si>
  <si>
    <t>Number of the wells in the plate</t>
  </si>
  <si>
    <t>Height of the plate</t>
  </si>
  <si>
    <t>14.35 mm</t>
  </si>
  <si>
    <t>Diameter of the well</t>
  </si>
  <si>
    <t>6.5 mm</t>
  </si>
  <si>
    <t>Volume of the well</t>
  </si>
  <si>
    <t>300 µl</t>
  </si>
  <si>
    <t>Coordinates of corners:</t>
  </si>
  <si>
    <t>14.38 mm x------------------------------------------------------ x 113.38 mm</t>
  </si>
  <si>
    <t>11.24 mm                                                           11.24 mm</t>
  </si>
  <si>
    <t>74.24 mm                                                           74.24 mm</t>
  </si>
  <si>
    <t>Platemap:</t>
  </si>
  <si>
    <t xml:space="preserve">STD1 </t>
  </si>
  <si>
    <t xml:space="preserve">STD9 </t>
  </si>
  <si>
    <t xml:space="preserve">UNK7 </t>
  </si>
  <si>
    <t>UNK15</t>
  </si>
  <si>
    <t>UNK23</t>
  </si>
  <si>
    <t xml:space="preserve">     </t>
  </si>
  <si>
    <t xml:space="preserve">STD2 </t>
  </si>
  <si>
    <t xml:space="preserve">BL   </t>
  </si>
  <si>
    <t xml:space="preserve">UNK8 </t>
  </si>
  <si>
    <t>UNK16</t>
  </si>
  <si>
    <t>UNK24</t>
  </si>
  <si>
    <t xml:space="preserve">STD3 </t>
  </si>
  <si>
    <t xml:space="preserve">UNK1 </t>
  </si>
  <si>
    <t xml:space="preserve">UNK9 </t>
  </si>
  <si>
    <t>UNK17</t>
  </si>
  <si>
    <t xml:space="preserve">STD4 </t>
  </si>
  <si>
    <t xml:space="preserve">UNK2 </t>
  </si>
  <si>
    <t>UNK10</t>
  </si>
  <si>
    <t>UNK18</t>
  </si>
  <si>
    <t xml:space="preserve">STD5 </t>
  </si>
  <si>
    <t xml:space="preserve">UNK3 </t>
  </si>
  <si>
    <t>UNK11</t>
  </si>
  <si>
    <t>UNK19</t>
  </si>
  <si>
    <t xml:space="preserve">STD6 </t>
  </si>
  <si>
    <t xml:space="preserve">UNK4 </t>
  </si>
  <si>
    <t>UNK12</t>
  </si>
  <si>
    <t>UNK20</t>
  </si>
  <si>
    <t xml:space="preserve">STD7 </t>
  </si>
  <si>
    <t xml:space="preserve">UNK5 </t>
  </si>
  <si>
    <t>UNK13</t>
  </si>
  <si>
    <t>UNK21</t>
  </si>
  <si>
    <t xml:space="preserve">STD8 </t>
  </si>
  <si>
    <t xml:space="preserve">UNK6 </t>
  </si>
  <si>
    <t>UNK14</t>
  </si>
  <si>
    <t>UNK22</t>
  </si>
  <si>
    <t xml:space="preserve"> STD - Standard</t>
  </si>
  <si>
    <t xml:space="preserve"> UNK - Unknown</t>
  </si>
  <si>
    <t xml:space="preserve"> BL - Blank</t>
  </si>
  <si>
    <t>Calculations:</t>
  </si>
  <si>
    <t xml:space="preserve"> Formula index</t>
  </si>
  <si>
    <t>Calc 1</t>
  </si>
  <si>
    <t xml:space="preserve"> Formula name</t>
  </si>
  <si>
    <t>Blank correction (Blanks on each plate)</t>
  </si>
  <si>
    <t xml:space="preserve"> Formula</t>
  </si>
  <si>
    <t>Blank correction (Blanks on each plate) where X = B B = Average of Blanks</t>
  </si>
  <si>
    <t>Calc 2</t>
  </si>
  <si>
    <t>Curve fitting (blank corrected)</t>
  </si>
  <si>
    <t>Curve fitting (blank corrected) where Measurement: Calc 1: Blank correction (Blanks on each plate)</t>
  </si>
  <si>
    <t xml:space="preserve"> Fitting</t>
  </si>
  <si>
    <t>Linear regression</t>
  </si>
  <si>
    <t xml:space="preserve"> Method Options</t>
  </si>
  <si>
    <t>Unweighted</t>
  </si>
  <si>
    <t xml:space="preserve"> Curve direction</t>
  </si>
  <si>
    <t>Indefinite</t>
  </si>
  <si>
    <t xml:space="preserve"> Use Outliers</t>
  </si>
  <si>
    <t xml:space="preserve"> X-axis transformation</t>
  </si>
  <si>
    <t>None</t>
  </si>
  <si>
    <t xml:space="preserve"> Y-axis transformation</t>
  </si>
  <si>
    <t xml:space="preserve"> STD1</t>
  </si>
  <si>
    <t xml:space="preserve"> STD2</t>
  </si>
  <si>
    <t xml:space="preserve"> STD3</t>
  </si>
  <si>
    <t xml:space="preserve"> STD4</t>
  </si>
  <si>
    <t xml:space="preserve"> STD5</t>
  </si>
  <si>
    <t xml:space="preserve"> STD6</t>
  </si>
  <si>
    <t xml:space="preserve"> STD7</t>
  </si>
  <si>
    <t xml:space="preserve"> STD8</t>
  </si>
  <si>
    <t xml:space="preserve"> STD9</t>
  </si>
  <si>
    <t xml:space="preserve"> Formula unit</t>
  </si>
  <si>
    <t>Calc 3</t>
  </si>
  <si>
    <t>Average of sample type</t>
  </si>
  <si>
    <t>Average of samples where Measurement: Calc 2: Curve fitting (blank corrected)  Sample: All samples</t>
  </si>
  <si>
    <t>Calc 4</t>
  </si>
  <si>
    <t>%CV of sample type</t>
  </si>
  <si>
    <t>100 * SD / AVG where SD = Standard deviation of samples AVG = Average of samples Measurement: Calc 2: Curve fitting (blank corrected)  Sample: All samples</t>
  </si>
  <si>
    <t>Auto export parameters:</t>
  </si>
  <si>
    <t>Export format</t>
  </si>
  <si>
    <t>Plate5</t>
  </si>
  <si>
    <t>Picture</t>
  </si>
  <si>
    <t>Add plate number to the file name</t>
  </si>
  <si>
    <t>Yes</t>
  </si>
  <si>
    <t>Each plate to separate file</t>
  </si>
  <si>
    <t>Field separator to use</t>
  </si>
  <si>
    <t>System</t>
  </si>
  <si>
    <t>File name format</t>
  </si>
  <si>
    <t>Z:\SameerAryal\SA_BCA_02_17_21_Plate_2.csv</t>
  </si>
  <si>
    <t>Exported data</t>
  </si>
  <si>
    <t>MeasB:Result Calc1:Blank correction (Blanks on each plate) Calc2:Curve fitting (blank corrected) Calc3:Average of sample type Calc4:%CV of sample type</t>
  </si>
  <si>
    <t>Operations:</t>
  </si>
  <si>
    <t>Plate 1</t>
  </si>
  <si>
    <t xml:space="preserve">  Shake</t>
  </si>
  <si>
    <t xml:space="preserve">    Duration</t>
  </si>
  <si>
    <t>60 s</t>
  </si>
  <si>
    <t xml:space="preserve">    Speed</t>
  </si>
  <si>
    <t xml:space="preserve">    Diameter</t>
  </si>
  <si>
    <t>3 mm</t>
  </si>
  <si>
    <t xml:space="preserve">    Shake mode</t>
  </si>
  <si>
    <t>Linear</t>
  </si>
  <si>
    <t xml:space="preserve">    Plate location</t>
  </si>
  <si>
    <t>Inside</t>
  </si>
  <si>
    <t xml:space="preserve">    First assay/plate repeat affected</t>
  </si>
  <si>
    <t xml:space="preserve">    Last assay/plate repeat affected</t>
  </si>
  <si>
    <t xml:space="preserve">  Measurement</t>
  </si>
  <si>
    <t xml:space="preserve">    Meas</t>
  </si>
  <si>
    <t xml:space="preserve">    Tech</t>
  </si>
  <si>
    <t>Absorbance</t>
  </si>
  <si>
    <t>Measurements:</t>
  </si>
  <si>
    <t xml:space="preserve">Meas </t>
  </si>
  <si>
    <t>Exc. filter</t>
  </si>
  <si>
    <t>Excitation wavelength</t>
  </si>
  <si>
    <t>480 nm</t>
  </si>
  <si>
    <t>Measurement height</t>
  </si>
  <si>
    <t>7.5 mm</t>
  </si>
  <si>
    <t>Number of flashes</t>
  </si>
  <si>
    <t>Number of flashes integrated</t>
  </si>
  <si>
    <t>Flash power</t>
  </si>
  <si>
    <t>Excitation light</t>
  </si>
  <si>
    <t>Reference excitation light</t>
  </si>
  <si>
    <t>Reference AD gain</t>
  </si>
  <si>
    <t>Reference signal</t>
  </si>
  <si>
    <t>Last edited</t>
  </si>
  <si>
    <t>Last edited by</t>
  </si>
  <si>
    <t>EnSpire</t>
  </si>
  <si>
    <t>Factory preset</t>
  </si>
  <si>
    <t>Filters:</t>
  </si>
  <si>
    <t>Monochromator cutoff 230</t>
  </si>
  <si>
    <t>Filter polarization</t>
  </si>
  <si>
    <t>Description</t>
  </si>
  <si>
    <t>X230co Longpass=230nm  Tmin=90%</t>
  </si>
  <si>
    <t>Used with</t>
  </si>
  <si>
    <t>Installation</t>
  </si>
  <si>
    <t>Monochromator cutoff 360</t>
  </si>
  <si>
    <t>X360co Longpass=360nm  Tmin=90%</t>
  </si>
  <si>
    <t>Monochromator cutoff 585</t>
  </si>
  <si>
    <t>X585co Longpass=585nm  Tmin=75%</t>
  </si>
  <si>
    <t>Instrument:</t>
  </si>
  <si>
    <t>Serial number</t>
  </si>
  <si>
    <t>Nickname</t>
  </si>
  <si>
    <t>Assay notifications:</t>
  </si>
  <si>
    <t>WARNING: A01: avg("P3488_WA01_L2050051_R1_M8") - avg("P3488_SBL_L2050051_R1_M8") 'Result not found with identifier: 'P3488_WA01_L2050051_R1_M8'</t>
  </si>
  <si>
    <t>A01: Curve("P3488_WA01_L1_R1_M0") 'Result not found with identifier: 'P3488_WA01_L1_R1_M0'</t>
  </si>
  <si>
    <t>Notifications for plate 2  repeat 1:</t>
  </si>
  <si>
    <t>INFO: Assay aborted at plate 2  plate repeat 1 and well 0. There may be missing results</t>
  </si>
  <si>
    <t>Exported with EnSpire Workstation version 4.13.3005.1482</t>
  </si>
  <si>
    <t>S1</t>
  </si>
  <si>
    <t>S2</t>
  </si>
  <si>
    <t>S3</t>
  </si>
  <si>
    <t>S4</t>
  </si>
  <si>
    <t>S5</t>
  </si>
  <si>
    <t>S6</t>
  </si>
  <si>
    <t>Volume used</t>
  </si>
  <si>
    <t>Accounting for dilution</t>
  </si>
  <si>
    <t>In ug ul</t>
  </si>
  <si>
    <t>P2</t>
  </si>
  <si>
    <t>Pre</t>
  </si>
  <si>
    <t>PSD</t>
  </si>
  <si>
    <t>To load 2 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</si>
</sst>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47" fontId="0" fillId="0" borderId="0" xfId="0" applyNumberFormat="1"/>
    <xf numFmtId="9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442038495188095E-2"/>
          <c:y val="0.18097222222222226"/>
          <c:w val="0.8617386264216973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Sheet1!$G$2:$G$5</c:f>
              <c:numCache>
                <c:formatCode>0.0</c:formatCode>
                <c:ptCount val="4"/>
                <c:pt idx="0">
                  <c:v>7.7266544448944821</c:v>
                </c:pt>
                <c:pt idx="1">
                  <c:v>29.069268938122171</c:v>
                </c:pt>
                <c:pt idx="2">
                  <c:v>4.2516861325866042</c:v>
                </c:pt>
                <c:pt idx="3">
                  <c:v>9.2671696959192857</c:v>
                </c:pt>
              </c:numCache>
            </c:numRef>
          </c:xVal>
          <c:yVal>
            <c:numRef>
              <c:f>Sheet1!$G$14:$G$17</c:f>
              <c:numCache>
                <c:formatCode>0.0</c:formatCode>
                <c:ptCount val="4"/>
                <c:pt idx="0">
                  <c:v>21.390903868432098</c:v>
                </c:pt>
                <c:pt idx="1">
                  <c:v>43.321731757092088</c:v>
                </c:pt>
                <c:pt idx="2">
                  <c:v>18.065357004841065</c:v>
                </c:pt>
                <c:pt idx="3">
                  <c:v>22.067964480865747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3-C34C-992F-1A373ED13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2053455"/>
        <c:axId val="1142064751"/>
      </c:scatterChart>
      <c:valAx>
        <c:axId val="114205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064751"/>
        <c:crosses val="autoZero"/>
        <c:crossBetween val="midCat"/>
      </c:valAx>
      <c:valAx>
        <c:axId val="114206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05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11</xdr:row>
      <xdr:rowOff>82550</xdr:rowOff>
    </xdr:from>
    <xdr:to>
      <xdr:col>14</xdr:col>
      <xdr:colOff>654050</xdr:colOff>
      <xdr:row>24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24CC15-981B-4048-BD60-F7ADA1F0F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1"/>
  <sheetViews>
    <sheetView topLeftCell="A32" workbookViewId="0">
      <selection activeCell="H51" sqref="H51:H52"/>
    </sheetView>
  </sheetViews>
  <sheetFormatPr baseColWidth="10" defaultRowHeight="16" x14ac:dyDescent="0.2"/>
  <sheetData>
    <row r="1" spans="1:13" x14ac:dyDescent="0.2">
      <c r="A1" t="s">
        <v>0</v>
      </c>
    </row>
    <row r="2" spans="1:1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13" x14ac:dyDescent="0.2">
      <c r="A3">
        <v>1</v>
      </c>
      <c r="B3">
        <v>1</v>
      </c>
      <c r="C3" t="str">
        <f>""</f>
        <v/>
      </c>
      <c r="D3" t="s">
        <v>10</v>
      </c>
      <c r="E3" t="s">
        <v>11</v>
      </c>
      <c r="F3" t="s">
        <v>11</v>
      </c>
      <c r="G3" t="s">
        <v>11</v>
      </c>
      <c r="H3" t="s">
        <v>11</v>
      </c>
      <c r="I3" s="1">
        <v>44244.56523148148</v>
      </c>
    </row>
    <row r="5" spans="1:13" x14ac:dyDescent="0.2">
      <c r="A5" t="s">
        <v>12</v>
      </c>
    </row>
    <row r="6" spans="1:13" x14ac:dyDescent="0.2">
      <c r="A6" t="s">
        <v>1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</row>
    <row r="7" spans="1:13" x14ac:dyDescent="0.2">
      <c r="A7">
        <v>1</v>
      </c>
      <c r="B7" t="s">
        <v>19</v>
      </c>
      <c r="C7">
        <v>0</v>
      </c>
      <c r="D7">
        <v>309166</v>
      </c>
      <c r="E7">
        <v>9</v>
      </c>
      <c r="F7" s="2">
        <v>0</v>
      </c>
      <c r="G7" t="s">
        <v>20</v>
      </c>
    </row>
    <row r="9" spans="1:13" x14ac:dyDescent="0.2">
      <c r="A9" t="s">
        <v>21</v>
      </c>
    </row>
    <row r="10" spans="1:13" x14ac:dyDescent="0.2"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22</v>
      </c>
      <c r="B11">
        <v>1.44</v>
      </c>
      <c r="C11">
        <v>1.395</v>
      </c>
      <c r="D11">
        <v>-3.0000000000000001E-3</v>
      </c>
      <c r="E11">
        <v>-3.0000000000000001E-3</v>
      </c>
      <c r="F11">
        <v>2.1000000000000001E-2</v>
      </c>
      <c r="G11">
        <v>2.1000000000000001E-2</v>
      </c>
      <c r="H11">
        <v>3.3000000000000002E-2</v>
      </c>
      <c r="I11">
        <v>3.5999999999999997E-2</v>
      </c>
      <c r="J11">
        <v>-0.51300000000000001</v>
      </c>
      <c r="K11">
        <v>-0.51300000000000001</v>
      </c>
    </row>
    <row r="12" spans="1:13" x14ac:dyDescent="0.2">
      <c r="A12" t="s">
        <v>23</v>
      </c>
      <c r="B12">
        <v>1</v>
      </c>
      <c r="C12">
        <v>0.98899999999999999</v>
      </c>
      <c r="D12">
        <v>1E-3</v>
      </c>
      <c r="E12">
        <v>-1E-3</v>
      </c>
      <c r="F12">
        <v>-5.0000000000000001E-3</v>
      </c>
      <c r="G12">
        <v>-2E-3</v>
      </c>
      <c r="H12">
        <v>2.4E-2</v>
      </c>
      <c r="I12">
        <v>3.1E-2</v>
      </c>
      <c r="J12">
        <v>-0.51300000000000001</v>
      </c>
      <c r="K12">
        <v>-0.51200000000000001</v>
      </c>
    </row>
    <row r="13" spans="1:13" x14ac:dyDescent="0.2">
      <c r="A13" t="s">
        <v>24</v>
      </c>
      <c r="B13">
        <v>0.71399999999999997</v>
      </c>
      <c r="C13">
        <v>0.68799999999999994</v>
      </c>
      <c r="D13">
        <v>0.02</v>
      </c>
      <c r="E13">
        <v>4.3999999999999997E-2</v>
      </c>
      <c r="F13">
        <v>1.7000000000000001E-2</v>
      </c>
      <c r="G13">
        <v>1.7000000000000001E-2</v>
      </c>
      <c r="H13">
        <v>-0.50900000000000001</v>
      </c>
      <c r="I13">
        <v>-0.51</v>
      </c>
    </row>
    <row r="14" spans="1:13" x14ac:dyDescent="0.2">
      <c r="A14" t="s">
        <v>25</v>
      </c>
      <c r="B14">
        <v>0.53700000000000003</v>
      </c>
      <c r="C14">
        <v>0.50600000000000001</v>
      </c>
      <c r="D14">
        <v>8.0000000000000002E-3</v>
      </c>
      <c r="E14">
        <v>3.0000000000000001E-3</v>
      </c>
      <c r="F14">
        <v>-6.0000000000000001E-3</v>
      </c>
      <c r="G14">
        <v>6.0000000000000001E-3</v>
      </c>
      <c r="H14">
        <v>-0.50900000000000001</v>
      </c>
      <c r="I14">
        <v>-0.51</v>
      </c>
    </row>
    <row r="15" spans="1:13" x14ac:dyDescent="0.2">
      <c r="A15" t="s">
        <v>26</v>
      </c>
      <c r="B15">
        <v>0.371</v>
      </c>
      <c r="C15">
        <v>0.34799999999999998</v>
      </c>
      <c r="D15">
        <v>6.2E-2</v>
      </c>
      <c r="E15">
        <v>6.0999999999999999E-2</v>
      </c>
      <c r="F15">
        <v>-3.0000000000000001E-3</v>
      </c>
      <c r="G15">
        <v>1E-3</v>
      </c>
      <c r="H15">
        <v>-0.51200000000000001</v>
      </c>
      <c r="I15">
        <v>-0.51100000000000001</v>
      </c>
    </row>
    <row r="16" spans="1:13" x14ac:dyDescent="0.2">
      <c r="A16" t="s">
        <v>27</v>
      </c>
      <c r="B16">
        <v>0.17899999999999999</v>
      </c>
      <c r="C16">
        <v>0.15</v>
      </c>
      <c r="D16">
        <v>3.5999999999999997E-2</v>
      </c>
      <c r="E16">
        <v>1.6E-2</v>
      </c>
      <c r="F16">
        <v>6.0000000000000001E-3</v>
      </c>
      <c r="G16">
        <v>1.7999999999999999E-2</v>
      </c>
      <c r="H16">
        <v>-0.51100000000000001</v>
      </c>
      <c r="I16">
        <v>-0.51200000000000001</v>
      </c>
    </row>
    <row r="17" spans="1:13" x14ac:dyDescent="0.2">
      <c r="A17" t="s">
        <v>28</v>
      </c>
      <c r="B17">
        <v>9.7000000000000003E-2</v>
      </c>
      <c r="C17">
        <v>0.08</v>
      </c>
      <c r="D17">
        <v>7.0000000000000001E-3</v>
      </c>
      <c r="E17">
        <v>2E-3</v>
      </c>
      <c r="F17">
        <v>2.5999999999999999E-2</v>
      </c>
      <c r="G17">
        <v>3.1E-2</v>
      </c>
      <c r="H17">
        <v>-0.51100000000000001</v>
      </c>
      <c r="I17">
        <v>-0.51100000000000001</v>
      </c>
    </row>
    <row r="18" spans="1:13" x14ac:dyDescent="0.2">
      <c r="A18" t="s">
        <v>29</v>
      </c>
      <c r="B18">
        <v>0.01</v>
      </c>
      <c r="C18">
        <v>4.0000000000000001E-3</v>
      </c>
      <c r="D18">
        <v>0.05</v>
      </c>
      <c r="E18">
        <v>4.8000000000000001E-2</v>
      </c>
      <c r="F18">
        <v>7.0000000000000001E-3</v>
      </c>
      <c r="G18">
        <v>1.7000000000000001E-2</v>
      </c>
      <c r="H18">
        <v>-0.51300000000000001</v>
      </c>
      <c r="I18">
        <v>-0.51300000000000001</v>
      </c>
    </row>
    <row r="20" spans="1:13" x14ac:dyDescent="0.2">
      <c r="A20" t="s">
        <v>30</v>
      </c>
    </row>
    <row r="21" spans="1:13" x14ac:dyDescent="0.2">
      <c r="A21" t="s">
        <v>4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38</v>
      </c>
    </row>
    <row r="22" spans="1:13" x14ac:dyDescent="0.2">
      <c r="A22" t="s">
        <v>39</v>
      </c>
      <c r="B22">
        <v>6.9721040999999996E-4</v>
      </c>
      <c r="C22">
        <v>-4.0937797999999999E-3</v>
      </c>
      <c r="D22">
        <v>412.49209116399999</v>
      </c>
      <c r="E22">
        <v>1022.42274376</v>
      </c>
      <c r="F22">
        <v>1632.35339636</v>
      </c>
      <c r="G22">
        <v>0.99912217813000004</v>
      </c>
      <c r="H22" t="s">
        <v>40</v>
      </c>
      <c r="I22" t="s">
        <v>41</v>
      </c>
    </row>
    <row r="24" spans="1:13" x14ac:dyDescent="0.2">
      <c r="A24" t="s">
        <v>0</v>
      </c>
    </row>
    <row r="25" spans="1:13" x14ac:dyDescent="0.2">
      <c r="A25" t="s">
        <v>1</v>
      </c>
      <c r="B25" t="s">
        <v>2</v>
      </c>
      <c r="C25" t="s">
        <v>3</v>
      </c>
      <c r="D25" t="s">
        <v>4</v>
      </c>
      <c r="E25" t="s">
        <v>5</v>
      </c>
      <c r="F25" t="s">
        <v>6</v>
      </c>
      <c r="G25" t="s">
        <v>7</v>
      </c>
      <c r="H25" t="s">
        <v>8</v>
      </c>
      <c r="I25" t="s">
        <v>9</v>
      </c>
    </row>
    <row r="26" spans="1:13" x14ac:dyDescent="0.2">
      <c r="A26">
        <v>1</v>
      </c>
      <c r="B26">
        <v>1</v>
      </c>
      <c r="C26" t="str">
        <f>""</f>
        <v/>
      </c>
      <c r="D26" t="s">
        <v>39</v>
      </c>
      <c r="E26" t="s">
        <v>11</v>
      </c>
      <c r="F26" t="s">
        <v>11</v>
      </c>
      <c r="G26" t="s">
        <v>11</v>
      </c>
      <c r="H26" t="s">
        <v>11</v>
      </c>
      <c r="I26" s="1">
        <v>44244.56523148148</v>
      </c>
    </row>
    <row r="28" spans="1:13" x14ac:dyDescent="0.2">
      <c r="A28" t="s">
        <v>12</v>
      </c>
    </row>
    <row r="29" spans="1:13" x14ac:dyDescent="0.2">
      <c r="A29" t="s">
        <v>1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</row>
    <row r="31" spans="1:13" x14ac:dyDescent="0.2">
      <c r="A31" t="s">
        <v>42</v>
      </c>
    </row>
    <row r="32" spans="1:13" x14ac:dyDescent="0.2">
      <c r="B32">
        <v>1</v>
      </c>
      <c r="C32">
        <v>2</v>
      </c>
      <c r="D32">
        <v>3</v>
      </c>
      <c r="E32">
        <v>4</v>
      </c>
      <c r="F32">
        <v>5</v>
      </c>
      <c r="G32">
        <v>6</v>
      </c>
      <c r="H32">
        <v>7</v>
      </c>
      <c r="I32">
        <v>8</v>
      </c>
      <c r="J32">
        <v>9</v>
      </c>
      <c r="K32">
        <v>10</v>
      </c>
      <c r="L32">
        <v>11</v>
      </c>
      <c r="M32">
        <v>12</v>
      </c>
    </row>
    <row r="33" spans="1:11" x14ac:dyDescent="0.2">
      <c r="A33" t="s">
        <v>22</v>
      </c>
      <c r="B33">
        <v>2071.2452945300001</v>
      </c>
      <c r="C33">
        <v>2006.7023683299999</v>
      </c>
      <c r="D33">
        <v>1.5687943520700001</v>
      </c>
      <c r="E33">
        <v>1.5687943520700001</v>
      </c>
      <c r="F33">
        <v>35.9916883259</v>
      </c>
      <c r="G33">
        <v>35.9916883259</v>
      </c>
      <c r="H33">
        <v>53.203135312800001</v>
      </c>
      <c r="I33">
        <v>57.505997059499997</v>
      </c>
      <c r="J33">
        <v>-729.91770258999998</v>
      </c>
      <c r="K33">
        <v>-729.91770258999998</v>
      </c>
    </row>
    <row r="34" spans="1:11" x14ac:dyDescent="0.2">
      <c r="A34" t="s">
        <v>23</v>
      </c>
      <c r="B34">
        <v>1440.1589050099999</v>
      </c>
      <c r="C34">
        <v>1424.38174527</v>
      </c>
      <c r="D34">
        <v>7.3059433477000004</v>
      </c>
      <c r="E34">
        <v>4.4373688498800004</v>
      </c>
      <c r="F34">
        <v>-1.2997801457</v>
      </c>
      <c r="G34">
        <v>3.0030816009799999</v>
      </c>
      <c r="H34">
        <v>40.294550072600003</v>
      </c>
      <c r="I34">
        <v>50.334560815000003</v>
      </c>
      <c r="J34">
        <v>-729.91770258999998</v>
      </c>
      <c r="K34">
        <v>-728.48341533999996</v>
      </c>
    </row>
    <row r="35" spans="1:11" x14ac:dyDescent="0.2">
      <c r="A35" t="s">
        <v>24</v>
      </c>
      <c r="B35">
        <v>1029.95275182</v>
      </c>
      <c r="C35">
        <v>992.66128334799998</v>
      </c>
      <c r="D35">
        <v>34.557401077000002</v>
      </c>
      <c r="E35">
        <v>68.980295050799995</v>
      </c>
      <c r="F35">
        <v>30.2545393302</v>
      </c>
      <c r="G35">
        <v>30.2545393302</v>
      </c>
      <c r="H35">
        <v>-724.18055360000005</v>
      </c>
      <c r="I35">
        <v>-725.61484084000006</v>
      </c>
    </row>
    <row r="36" spans="1:11" x14ac:dyDescent="0.2">
      <c r="A36" t="s">
        <v>25</v>
      </c>
      <c r="B36">
        <v>776.08390876299995</v>
      </c>
      <c r="C36">
        <v>731.62100404700004</v>
      </c>
      <c r="D36">
        <v>17.345954090100001</v>
      </c>
      <c r="E36">
        <v>10.1745178455</v>
      </c>
      <c r="F36">
        <v>-2.7340673946999998</v>
      </c>
      <c r="G36">
        <v>14.4773795922</v>
      </c>
      <c r="H36">
        <v>-724.18055360000005</v>
      </c>
      <c r="I36">
        <v>-725.61484084000006</v>
      </c>
    </row>
    <row r="37" spans="1:11" x14ac:dyDescent="0.2">
      <c r="A37" t="s">
        <v>26</v>
      </c>
      <c r="B37">
        <v>537.99222544400004</v>
      </c>
      <c r="C37">
        <v>505.00361871899997</v>
      </c>
      <c r="D37">
        <v>94.797465531100002</v>
      </c>
      <c r="E37">
        <v>93.363178282199996</v>
      </c>
      <c r="F37">
        <v>1.5687943520700001</v>
      </c>
      <c r="G37">
        <v>7.3059433477000004</v>
      </c>
      <c r="H37">
        <v>-728.48341533999996</v>
      </c>
      <c r="I37">
        <v>-727.04912808999995</v>
      </c>
    </row>
    <row r="38" spans="1:11" x14ac:dyDescent="0.2">
      <c r="A38" t="s">
        <v>27</v>
      </c>
      <c r="B38">
        <v>262.609073653</v>
      </c>
      <c r="C38">
        <v>221.01474343500001</v>
      </c>
      <c r="D38">
        <v>57.505997059499997</v>
      </c>
      <c r="E38">
        <v>28.820252081300001</v>
      </c>
      <c r="F38">
        <v>14.4773795922</v>
      </c>
      <c r="G38">
        <v>31.688826579099999</v>
      </c>
      <c r="H38">
        <v>-727.04912808999995</v>
      </c>
      <c r="I38">
        <v>-728.48341533999996</v>
      </c>
    </row>
    <row r="39" spans="1:11" x14ac:dyDescent="0.2">
      <c r="A39" t="s">
        <v>28</v>
      </c>
      <c r="B39">
        <v>144.997519243</v>
      </c>
      <c r="C39">
        <v>120.614636011</v>
      </c>
      <c r="D39">
        <v>15.911666841200001</v>
      </c>
      <c r="E39">
        <v>8.7402305966099991</v>
      </c>
      <c r="F39">
        <v>43.163124570400001</v>
      </c>
      <c r="G39">
        <v>50.334560815000003</v>
      </c>
      <c r="H39">
        <v>-727.04912808999995</v>
      </c>
      <c r="I39">
        <v>-727.04912808999995</v>
      </c>
    </row>
    <row r="40" spans="1:11" x14ac:dyDescent="0.2">
      <c r="A40" t="s">
        <v>29</v>
      </c>
      <c r="B40">
        <v>20.214528587899999</v>
      </c>
      <c r="C40">
        <v>11.608805094399999</v>
      </c>
      <c r="D40">
        <v>77.586018544200002</v>
      </c>
      <c r="E40">
        <v>74.717444046400004</v>
      </c>
      <c r="F40">
        <v>15.911666841200001</v>
      </c>
      <c r="G40">
        <v>30.2545393302</v>
      </c>
      <c r="H40">
        <v>-729.91770258999998</v>
      </c>
      <c r="I40">
        <v>-729.91770258999998</v>
      </c>
    </row>
    <row r="42" spans="1:11" x14ac:dyDescent="0.2">
      <c r="A42" t="s">
        <v>0</v>
      </c>
    </row>
    <row r="43" spans="1:11" x14ac:dyDescent="0.2">
      <c r="A43" t="s">
        <v>1</v>
      </c>
      <c r="B43" t="s">
        <v>2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  <c r="H43" t="s">
        <v>8</v>
      </c>
      <c r="I43" t="s">
        <v>9</v>
      </c>
    </row>
    <row r="44" spans="1:11" x14ac:dyDescent="0.2">
      <c r="A44">
        <v>1</v>
      </c>
      <c r="B44">
        <v>1</v>
      </c>
      <c r="C44" t="str">
        <f>""</f>
        <v/>
      </c>
      <c r="D44" t="s">
        <v>43</v>
      </c>
      <c r="E44" t="s">
        <v>11</v>
      </c>
      <c r="F44" t="s">
        <v>11</v>
      </c>
      <c r="G44" t="s">
        <v>11</v>
      </c>
      <c r="H44" t="s">
        <v>11</v>
      </c>
      <c r="I44" s="1">
        <v>44244.56523148148</v>
      </c>
    </row>
    <row r="46" spans="1:11" x14ac:dyDescent="0.2">
      <c r="A46" t="s">
        <v>12</v>
      </c>
    </row>
    <row r="47" spans="1:11" x14ac:dyDescent="0.2">
      <c r="A47" t="s">
        <v>1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</row>
    <row r="49" spans="1:13" x14ac:dyDescent="0.2">
      <c r="A49" t="s">
        <v>44</v>
      </c>
    </row>
    <row r="50" spans="1:13" x14ac:dyDescent="0.2">
      <c r="B50">
        <v>1</v>
      </c>
      <c r="C50">
        <v>2</v>
      </c>
      <c r="D50">
        <v>3</v>
      </c>
      <c r="E50">
        <v>4</v>
      </c>
      <c r="F50">
        <v>5</v>
      </c>
      <c r="G50">
        <v>6</v>
      </c>
      <c r="H50">
        <v>7</v>
      </c>
      <c r="I50">
        <v>8</v>
      </c>
      <c r="J50">
        <v>9</v>
      </c>
      <c r="K50">
        <v>10</v>
      </c>
      <c r="L50">
        <v>11</v>
      </c>
      <c r="M50">
        <v>12</v>
      </c>
    </row>
    <row r="51" spans="1:13" x14ac:dyDescent="0.2">
      <c r="A51" t="s">
        <v>22</v>
      </c>
      <c r="B51">
        <v>2038.97383143</v>
      </c>
      <c r="C51">
        <v>2038.97383143</v>
      </c>
      <c r="D51">
        <v>1.5687943520700001</v>
      </c>
      <c r="E51">
        <v>1.5687943520700001</v>
      </c>
      <c r="F51">
        <v>35.9916883259</v>
      </c>
      <c r="G51">
        <v>35.9916883259</v>
      </c>
      <c r="H51">
        <v>55.354566186100001</v>
      </c>
      <c r="I51">
        <v>55.354566186100001</v>
      </c>
      <c r="J51">
        <v>-729.91770258999998</v>
      </c>
      <c r="K51">
        <v>-729.91770258999998</v>
      </c>
    </row>
    <row r="52" spans="1:13" x14ac:dyDescent="0.2">
      <c r="A52" t="s">
        <v>23</v>
      </c>
      <c r="B52">
        <v>1432.2703251400001</v>
      </c>
      <c r="C52">
        <v>1432.2703251400001</v>
      </c>
      <c r="D52">
        <v>5.8716560987899999</v>
      </c>
      <c r="E52">
        <v>5.8716560987899999</v>
      </c>
      <c r="F52">
        <v>0.85165072761000005</v>
      </c>
      <c r="G52">
        <v>0.85165072761000005</v>
      </c>
      <c r="H52">
        <v>45.314555443800003</v>
      </c>
      <c r="I52">
        <v>45.314555443800003</v>
      </c>
      <c r="J52">
        <v>-729.20055896999997</v>
      </c>
      <c r="K52">
        <v>-729.20055896999997</v>
      </c>
    </row>
    <row r="53" spans="1:13" x14ac:dyDescent="0.2">
      <c r="A53" t="s">
        <v>24</v>
      </c>
      <c r="B53">
        <v>1011.30701758</v>
      </c>
      <c r="C53">
        <v>1011.30701758</v>
      </c>
      <c r="D53">
        <v>51.768848063900002</v>
      </c>
      <c r="E53">
        <v>51.768848063900002</v>
      </c>
      <c r="F53">
        <v>30.2545393302</v>
      </c>
      <c r="G53">
        <v>30.2545393302</v>
      </c>
      <c r="H53">
        <v>-724.89769722000005</v>
      </c>
      <c r="I53">
        <v>-724.89769722000005</v>
      </c>
    </row>
    <row r="54" spans="1:13" x14ac:dyDescent="0.2">
      <c r="A54" t="s">
        <v>25</v>
      </c>
      <c r="B54">
        <v>753.852456405</v>
      </c>
      <c r="C54">
        <v>753.852456405</v>
      </c>
      <c r="D54">
        <v>13.7602359678</v>
      </c>
      <c r="E54">
        <v>13.7602359678</v>
      </c>
      <c r="F54">
        <v>5.8716560987899999</v>
      </c>
      <c r="G54">
        <v>5.8716560987899999</v>
      </c>
      <c r="H54">
        <v>-724.89769722000005</v>
      </c>
      <c r="I54">
        <v>-724.89769722000005</v>
      </c>
    </row>
    <row r="55" spans="1:13" x14ac:dyDescent="0.2">
      <c r="A55" t="s">
        <v>26</v>
      </c>
      <c r="B55">
        <v>521.49792208099996</v>
      </c>
      <c r="C55">
        <v>521.49792208099996</v>
      </c>
      <c r="D55">
        <v>94.080321906699993</v>
      </c>
      <c r="E55">
        <v>94.080321906699993</v>
      </c>
      <c r="F55">
        <v>4.4373688498800004</v>
      </c>
      <c r="G55">
        <v>4.4373688498800004</v>
      </c>
      <c r="H55">
        <v>-727.76627171999996</v>
      </c>
      <c r="I55">
        <v>-727.76627171999996</v>
      </c>
    </row>
    <row r="56" spans="1:13" x14ac:dyDescent="0.2">
      <c r="A56" t="s">
        <v>27</v>
      </c>
      <c r="B56">
        <v>241.811908544</v>
      </c>
      <c r="C56">
        <v>241.811908544</v>
      </c>
      <c r="D56">
        <v>43.163124570400001</v>
      </c>
      <c r="E56">
        <v>43.163124570400001</v>
      </c>
      <c r="F56">
        <v>23.083103085699999</v>
      </c>
      <c r="G56">
        <v>23.083103085699999</v>
      </c>
      <c r="H56">
        <v>-727.76627171999996</v>
      </c>
      <c r="I56">
        <v>-727.76627171999996</v>
      </c>
    </row>
    <row r="57" spans="1:13" x14ac:dyDescent="0.2">
      <c r="A57" t="s">
        <v>28</v>
      </c>
      <c r="B57">
        <v>132.80607762700001</v>
      </c>
      <c r="C57">
        <v>132.80607762700001</v>
      </c>
      <c r="D57">
        <v>12.325948718899999</v>
      </c>
      <c r="E57">
        <v>12.325948718899999</v>
      </c>
      <c r="F57">
        <v>46.748842692700002</v>
      </c>
      <c r="G57">
        <v>46.748842692700002</v>
      </c>
      <c r="H57">
        <v>-727.04912808999995</v>
      </c>
      <c r="I57">
        <v>-727.04912808999995</v>
      </c>
    </row>
    <row r="58" spans="1:13" x14ac:dyDescent="0.2">
      <c r="A58" t="s">
        <v>29</v>
      </c>
      <c r="B58">
        <v>15.911666841200001</v>
      </c>
      <c r="C58">
        <v>15.911666841200001</v>
      </c>
      <c r="D58">
        <v>76.151731295299996</v>
      </c>
      <c r="E58">
        <v>76.151731295299996</v>
      </c>
      <c r="F58">
        <v>23.083103085699999</v>
      </c>
      <c r="G58">
        <v>23.083103085699999</v>
      </c>
      <c r="H58">
        <v>-729.91770258999998</v>
      </c>
      <c r="I58">
        <v>-729.91770258999998</v>
      </c>
    </row>
    <row r="60" spans="1:13" x14ac:dyDescent="0.2">
      <c r="A60" t="s">
        <v>0</v>
      </c>
    </row>
    <row r="61" spans="1:13" x14ac:dyDescent="0.2">
      <c r="A61" t="s">
        <v>1</v>
      </c>
      <c r="B61" t="s">
        <v>2</v>
      </c>
      <c r="C61" t="s">
        <v>3</v>
      </c>
      <c r="D61" t="s">
        <v>4</v>
      </c>
      <c r="E61" t="s">
        <v>5</v>
      </c>
      <c r="F61" t="s">
        <v>6</v>
      </c>
      <c r="G61" t="s">
        <v>7</v>
      </c>
      <c r="H61" t="s">
        <v>8</v>
      </c>
      <c r="I61" t="s">
        <v>9</v>
      </c>
    </row>
    <row r="62" spans="1:13" x14ac:dyDescent="0.2">
      <c r="A62">
        <v>1</v>
      </c>
      <c r="B62">
        <v>1</v>
      </c>
      <c r="C62" t="str">
        <f>""</f>
        <v/>
      </c>
      <c r="D62" t="s">
        <v>45</v>
      </c>
      <c r="E62" t="s">
        <v>11</v>
      </c>
      <c r="F62" t="s">
        <v>11</v>
      </c>
      <c r="G62" t="s">
        <v>11</v>
      </c>
      <c r="H62" t="s">
        <v>11</v>
      </c>
      <c r="I62" s="1">
        <v>44244.56523148148</v>
      </c>
    </row>
    <row r="64" spans="1:13" x14ac:dyDescent="0.2">
      <c r="A64" t="s">
        <v>12</v>
      </c>
    </row>
    <row r="65" spans="1:13" x14ac:dyDescent="0.2">
      <c r="A65" t="s">
        <v>1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</row>
    <row r="67" spans="1:13" x14ac:dyDescent="0.2">
      <c r="A67" t="s">
        <v>46</v>
      </c>
    </row>
    <row r="68" spans="1:13" x14ac:dyDescent="0.2">
      <c r="B68">
        <v>1</v>
      </c>
      <c r="C68">
        <v>2</v>
      </c>
      <c r="D68">
        <v>3</v>
      </c>
      <c r="E68">
        <v>4</v>
      </c>
      <c r="F68">
        <v>5</v>
      </c>
      <c r="G68">
        <v>6</v>
      </c>
      <c r="H68">
        <v>7</v>
      </c>
      <c r="I68">
        <v>8</v>
      </c>
      <c r="J68">
        <v>9</v>
      </c>
      <c r="K68">
        <v>10</v>
      </c>
      <c r="L68">
        <v>11</v>
      </c>
      <c r="M68">
        <v>12</v>
      </c>
    </row>
    <row r="69" spans="1:13" x14ac:dyDescent="0.2">
      <c r="A69" t="s">
        <v>22</v>
      </c>
      <c r="B69">
        <v>2.2383191039899999</v>
      </c>
      <c r="C69">
        <v>2.2383191039899999</v>
      </c>
      <c r="D69">
        <v>0</v>
      </c>
      <c r="E69">
        <v>0</v>
      </c>
      <c r="F69">
        <v>0</v>
      </c>
      <c r="G69">
        <v>0</v>
      </c>
      <c r="H69">
        <v>5.4965343046599999</v>
      </c>
      <c r="I69">
        <v>5.4965343046599999</v>
      </c>
      <c r="J69">
        <v>0</v>
      </c>
      <c r="K69">
        <v>0</v>
      </c>
    </row>
    <row r="70" spans="1:13" x14ac:dyDescent="0.2">
      <c r="A70" t="s">
        <v>23</v>
      </c>
      <c r="B70">
        <v>0.77891278223000004</v>
      </c>
      <c r="C70">
        <v>0.77891278223000004</v>
      </c>
      <c r="D70">
        <v>34.545423737599997</v>
      </c>
      <c r="E70">
        <v>34.545423737599997</v>
      </c>
      <c r="F70">
        <v>357.25710328999998</v>
      </c>
      <c r="G70">
        <v>357.25710328999998</v>
      </c>
      <c r="H70">
        <v>15.666841723599999</v>
      </c>
      <c r="I70">
        <v>15.666841723599999</v>
      </c>
      <c r="J70">
        <v>-0.1390830311</v>
      </c>
      <c r="K70">
        <v>-0.1390830311</v>
      </c>
    </row>
    <row r="71" spans="1:13" x14ac:dyDescent="0.2">
      <c r="A71" t="s">
        <v>24</v>
      </c>
      <c r="B71">
        <v>2.6074228476800001</v>
      </c>
      <c r="C71">
        <v>2.6074228476800001</v>
      </c>
      <c r="D71">
        <v>47.017970589000001</v>
      </c>
      <c r="E71">
        <v>47.017970589000001</v>
      </c>
      <c r="F71">
        <v>0</v>
      </c>
      <c r="G71">
        <v>0</v>
      </c>
      <c r="H71">
        <v>-0.1399086028</v>
      </c>
      <c r="I71">
        <v>-0.1399086028</v>
      </c>
    </row>
    <row r="72" spans="1:13" x14ac:dyDescent="0.2">
      <c r="A72" t="s">
        <v>25</v>
      </c>
      <c r="B72">
        <v>4.1705802201699997</v>
      </c>
      <c r="C72">
        <v>4.1705802201699997</v>
      </c>
      <c r="D72">
        <v>36.852356393000001</v>
      </c>
      <c r="E72">
        <v>36.852356393000001</v>
      </c>
      <c r="F72">
        <v>207.272542426</v>
      </c>
      <c r="G72">
        <v>207.272542426</v>
      </c>
      <c r="H72">
        <v>-0.1399086028</v>
      </c>
      <c r="I72">
        <v>-0.1399086028</v>
      </c>
    </row>
    <row r="73" spans="1:13" x14ac:dyDescent="0.2">
      <c r="A73" t="s">
        <v>26</v>
      </c>
      <c r="B73">
        <v>4.4729742016899996</v>
      </c>
      <c r="C73">
        <v>4.4729742016899996</v>
      </c>
      <c r="D73">
        <v>1.0780088963500001</v>
      </c>
      <c r="E73">
        <v>1.0780088963500001</v>
      </c>
      <c r="F73">
        <v>91.423027851200004</v>
      </c>
      <c r="G73">
        <v>91.423027851200004</v>
      </c>
      <c r="H73">
        <v>-0.13935713690000001</v>
      </c>
      <c r="I73">
        <v>-0.13935713690000001</v>
      </c>
    </row>
    <row r="74" spans="1:13" x14ac:dyDescent="0.2">
      <c r="A74" t="s">
        <v>27</v>
      </c>
      <c r="B74">
        <v>12.1630208923</v>
      </c>
      <c r="C74">
        <v>12.1630208923</v>
      </c>
      <c r="D74">
        <v>46.993550627600001</v>
      </c>
      <c r="E74">
        <v>46.993550627600001</v>
      </c>
      <c r="F74">
        <v>52.7239809712</v>
      </c>
      <c r="G74">
        <v>52.7239809712</v>
      </c>
      <c r="H74">
        <v>-0.13935713690000001</v>
      </c>
      <c r="I74">
        <v>-0.13935713690000001</v>
      </c>
    </row>
    <row r="75" spans="1:13" x14ac:dyDescent="0.2">
      <c r="A75" t="s">
        <v>28</v>
      </c>
      <c r="B75">
        <v>12.9823140521</v>
      </c>
      <c r="C75">
        <v>12.9823140521</v>
      </c>
      <c r="D75">
        <v>41.140615744999998</v>
      </c>
      <c r="E75">
        <v>41.140615744999998</v>
      </c>
      <c r="F75">
        <v>10.8472657445</v>
      </c>
      <c r="G75">
        <v>10.8472657445</v>
      </c>
      <c r="H75">
        <v>0</v>
      </c>
      <c r="I75">
        <v>0</v>
      </c>
    </row>
    <row r="76" spans="1:13" x14ac:dyDescent="0.2">
      <c r="A76" t="s">
        <v>29</v>
      </c>
      <c r="B76">
        <v>38.243419121199999</v>
      </c>
      <c r="C76">
        <v>38.243419121199999</v>
      </c>
      <c r="D76">
        <v>2.6636143988400001</v>
      </c>
      <c r="E76">
        <v>2.6636143988400001</v>
      </c>
      <c r="F76">
        <v>43.9366508094</v>
      </c>
      <c r="G76">
        <v>43.9366508094</v>
      </c>
      <c r="H76">
        <v>0</v>
      </c>
      <c r="I76">
        <v>0</v>
      </c>
    </row>
    <row r="78" spans="1:13" x14ac:dyDescent="0.2">
      <c r="A78" t="s">
        <v>0</v>
      </c>
    </row>
    <row r="79" spans="1:13" x14ac:dyDescent="0.2">
      <c r="A79" t="s">
        <v>1</v>
      </c>
      <c r="B79" t="s">
        <v>2</v>
      </c>
      <c r="C79" t="s">
        <v>3</v>
      </c>
      <c r="D79" t="s">
        <v>5</v>
      </c>
      <c r="E79" t="s">
        <v>6</v>
      </c>
      <c r="F79" t="s">
        <v>7</v>
      </c>
      <c r="G79" t="s">
        <v>8</v>
      </c>
      <c r="H79" t="s">
        <v>47</v>
      </c>
      <c r="I79" t="s">
        <v>48</v>
      </c>
      <c r="J79" t="s">
        <v>49</v>
      </c>
      <c r="K79" t="s">
        <v>50</v>
      </c>
      <c r="L79" t="s">
        <v>51</v>
      </c>
      <c r="M79" t="s">
        <v>9</v>
      </c>
    </row>
    <row r="80" spans="1:13" x14ac:dyDescent="0.2">
      <c r="A80">
        <v>1</v>
      </c>
      <c r="B80">
        <v>1</v>
      </c>
      <c r="C80" t="str">
        <f>""</f>
        <v/>
      </c>
      <c r="D80">
        <v>27.1</v>
      </c>
      <c r="E80">
        <v>27.1</v>
      </c>
      <c r="F80">
        <v>25.3</v>
      </c>
      <c r="G80">
        <v>25.3</v>
      </c>
      <c r="H80" t="s">
        <v>19</v>
      </c>
      <c r="I80">
        <v>0</v>
      </c>
      <c r="J80">
        <v>0</v>
      </c>
      <c r="K80" t="s">
        <v>20</v>
      </c>
      <c r="L80">
        <v>1</v>
      </c>
      <c r="M80" s="1">
        <v>44244.56523148148</v>
      </c>
    </row>
    <row r="82" spans="1:13" x14ac:dyDescent="0.2">
      <c r="A82" t="s">
        <v>12</v>
      </c>
    </row>
    <row r="83" spans="1:13" x14ac:dyDescent="0.2">
      <c r="A83" t="s">
        <v>1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</row>
    <row r="84" spans="1:13" x14ac:dyDescent="0.2">
      <c r="A84">
        <v>1</v>
      </c>
      <c r="B84" t="s">
        <v>19</v>
      </c>
      <c r="C84">
        <v>0</v>
      </c>
      <c r="D84">
        <v>309166</v>
      </c>
      <c r="E84">
        <v>9</v>
      </c>
      <c r="F84" s="2">
        <v>0</v>
      </c>
      <c r="G84" t="s">
        <v>20</v>
      </c>
    </row>
    <row r="86" spans="1:13" x14ac:dyDescent="0.2">
      <c r="A86" t="s">
        <v>52</v>
      </c>
    </row>
    <row r="87" spans="1:13" x14ac:dyDescent="0.2">
      <c r="B87">
        <v>1</v>
      </c>
      <c r="C87">
        <v>2</v>
      </c>
      <c r="D87">
        <v>3</v>
      </c>
      <c r="E87">
        <v>4</v>
      </c>
      <c r="F87">
        <v>5</v>
      </c>
      <c r="G87">
        <v>6</v>
      </c>
      <c r="H87">
        <v>7</v>
      </c>
      <c r="I87">
        <v>8</v>
      </c>
      <c r="J87">
        <v>9</v>
      </c>
      <c r="K87">
        <v>10</v>
      </c>
      <c r="L87">
        <v>11</v>
      </c>
      <c r="M87">
        <v>12</v>
      </c>
    </row>
    <row r="88" spans="1:13" x14ac:dyDescent="0.2">
      <c r="A88" t="s">
        <v>22</v>
      </c>
      <c r="B88">
        <v>1.9950000000000001</v>
      </c>
      <c r="C88">
        <v>1.95</v>
      </c>
      <c r="D88">
        <v>0.55200000000000005</v>
      </c>
      <c r="E88">
        <v>0.55200000000000005</v>
      </c>
      <c r="F88">
        <v>0.57599999999999996</v>
      </c>
      <c r="G88">
        <v>0.57599999999999996</v>
      </c>
      <c r="H88">
        <v>0.58799999999999997</v>
      </c>
      <c r="I88">
        <v>0.59099999999999997</v>
      </c>
      <c r="J88">
        <v>4.2000000000000003E-2</v>
      </c>
      <c r="K88">
        <v>4.2000000000000003E-2</v>
      </c>
    </row>
    <row r="89" spans="1:13" x14ac:dyDescent="0.2">
      <c r="A89" t="s">
        <v>23</v>
      </c>
      <c r="B89">
        <v>1.5549999999999999</v>
      </c>
      <c r="C89">
        <v>1.544</v>
      </c>
      <c r="D89">
        <v>0.55600000000000005</v>
      </c>
      <c r="E89">
        <v>0.55400000000000005</v>
      </c>
      <c r="F89">
        <v>0.55000000000000004</v>
      </c>
      <c r="G89">
        <v>0.55300000000000005</v>
      </c>
      <c r="H89">
        <v>0.57899999999999996</v>
      </c>
      <c r="I89">
        <v>0.58599999999999997</v>
      </c>
      <c r="J89">
        <v>4.2000000000000003E-2</v>
      </c>
      <c r="K89">
        <v>4.2999999999999997E-2</v>
      </c>
    </row>
    <row r="90" spans="1:13" x14ac:dyDescent="0.2">
      <c r="A90" t="s">
        <v>24</v>
      </c>
      <c r="B90">
        <v>1.2689999999999999</v>
      </c>
      <c r="C90">
        <v>1.2430000000000001</v>
      </c>
      <c r="D90">
        <v>0.57499999999999996</v>
      </c>
      <c r="E90">
        <v>0.59899999999999998</v>
      </c>
      <c r="F90">
        <v>0.57199999999999995</v>
      </c>
      <c r="G90">
        <v>0.57199999999999995</v>
      </c>
      <c r="H90">
        <v>4.5999999999999999E-2</v>
      </c>
      <c r="I90">
        <v>4.4999999999999998E-2</v>
      </c>
    </row>
    <row r="91" spans="1:13" x14ac:dyDescent="0.2">
      <c r="A91" t="s">
        <v>25</v>
      </c>
      <c r="B91">
        <v>1.0920000000000001</v>
      </c>
      <c r="C91">
        <v>1.0609999999999999</v>
      </c>
      <c r="D91">
        <v>0.56299999999999994</v>
      </c>
      <c r="E91">
        <v>0.55800000000000005</v>
      </c>
      <c r="F91">
        <v>0.54900000000000004</v>
      </c>
      <c r="G91">
        <v>0.56100000000000005</v>
      </c>
      <c r="H91">
        <v>4.5999999999999999E-2</v>
      </c>
      <c r="I91">
        <v>4.4999999999999998E-2</v>
      </c>
    </row>
    <row r="92" spans="1:13" x14ac:dyDescent="0.2">
      <c r="A92" t="s">
        <v>26</v>
      </c>
      <c r="B92">
        <v>0.92600000000000005</v>
      </c>
      <c r="C92">
        <v>0.90300000000000002</v>
      </c>
      <c r="D92">
        <v>0.61699999999999999</v>
      </c>
      <c r="E92">
        <v>0.61599999999999999</v>
      </c>
      <c r="F92">
        <v>0.55200000000000005</v>
      </c>
      <c r="G92">
        <v>0.55600000000000005</v>
      </c>
      <c r="H92">
        <v>4.2999999999999997E-2</v>
      </c>
      <c r="I92">
        <v>4.3999999999999997E-2</v>
      </c>
    </row>
    <row r="93" spans="1:13" x14ac:dyDescent="0.2">
      <c r="A93" t="s">
        <v>27</v>
      </c>
      <c r="B93">
        <v>0.73399999999999999</v>
      </c>
      <c r="C93">
        <v>0.70499999999999996</v>
      </c>
      <c r="D93">
        <v>0.59099999999999997</v>
      </c>
      <c r="E93">
        <v>0.57099999999999995</v>
      </c>
      <c r="F93">
        <v>0.56100000000000005</v>
      </c>
      <c r="G93">
        <v>0.57299999999999995</v>
      </c>
      <c r="H93">
        <v>4.3999999999999997E-2</v>
      </c>
      <c r="I93">
        <v>4.2999999999999997E-2</v>
      </c>
    </row>
    <row r="94" spans="1:13" x14ac:dyDescent="0.2">
      <c r="A94" t="s">
        <v>28</v>
      </c>
      <c r="B94">
        <v>0.65200000000000002</v>
      </c>
      <c r="C94">
        <v>0.63500000000000001</v>
      </c>
      <c r="D94">
        <v>0.56200000000000006</v>
      </c>
      <c r="E94">
        <v>0.55700000000000005</v>
      </c>
      <c r="F94">
        <v>0.58099999999999996</v>
      </c>
      <c r="G94">
        <v>0.58599999999999997</v>
      </c>
      <c r="H94">
        <v>4.3999999999999997E-2</v>
      </c>
      <c r="I94">
        <v>4.3999999999999997E-2</v>
      </c>
    </row>
    <row r="95" spans="1:13" x14ac:dyDescent="0.2">
      <c r="A95" t="s">
        <v>29</v>
      </c>
      <c r="B95">
        <v>0.56499999999999995</v>
      </c>
      <c r="C95">
        <v>0.55900000000000005</v>
      </c>
      <c r="D95">
        <v>0.60499999999999998</v>
      </c>
      <c r="E95">
        <v>0.60299999999999998</v>
      </c>
      <c r="F95">
        <v>0.56200000000000006</v>
      </c>
      <c r="G95">
        <v>0.57199999999999995</v>
      </c>
      <c r="H95">
        <v>4.2000000000000003E-2</v>
      </c>
      <c r="I95">
        <v>4.2000000000000003E-2</v>
      </c>
    </row>
    <row r="98" spans="1:5" x14ac:dyDescent="0.2">
      <c r="A98" t="s">
        <v>53</v>
      </c>
    </row>
    <row r="99" spans="1:5" x14ac:dyDescent="0.2">
      <c r="A99" t="s">
        <v>54</v>
      </c>
      <c r="E99">
        <v>1747</v>
      </c>
    </row>
    <row r="100" spans="1:5" x14ac:dyDescent="0.2">
      <c r="A100" t="s">
        <v>55</v>
      </c>
      <c r="E100" s="1">
        <v>44244.564039351855</v>
      </c>
    </row>
    <row r="101" spans="1:5" x14ac:dyDescent="0.2">
      <c r="A101" t="s">
        <v>56</v>
      </c>
      <c r="E101" s="1">
        <v>44244.56591435185</v>
      </c>
    </row>
    <row r="102" spans="1:5" x14ac:dyDescent="0.2">
      <c r="A102" t="s">
        <v>57</v>
      </c>
      <c r="E102" s="1">
        <v>44244.581284722219</v>
      </c>
    </row>
    <row r="103" spans="1:5" x14ac:dyDescent="0.2">
      <c r="A103" t="s">
        <v>58</v>
      </c>
      <c r="E103" t="s">
        <v>11</v>
      </c>
    </row>
    <row r="104" spans="1:5" x14ac:dyDescent="0.2">
      <c r="A104" t="s">
        <v>59</v>
      </c>
      <c r="E104">
        <v>100175</v>
      </c>
    </row>
    <row r="105" spans="1:5" x14ac:dyDescent="0.2">
      <c r="A105" t="s">
        <v>60</v>
      </c>
      <c r="E105" t="s">
        <v>61</v>
      </c>
    </row>
    <row r="106" spans="1:5" x14ac:dyDescent="0.2">
      <c r="A106" t="s">
        <v>62</v>
      </c>
      <c r="E106" t="str">
        <f>"23000584"</f>
        <v>23000584</v>
      </c>
    </row>
    <row r="110" spans="1:5" x14ac:dyDescent="0.2">
      <c r="A110" t="s">
        <v>63</v>
      </c>
    </row>
    <row r="111" spans="1:5" x14ac:dyDescent="0.2">
      <c r="A111" t="s">
        <v>64</v>
      </c>
    </row>
    <row r="112" spans="1:5" x14ac:dyDescent="0.2">
      <c r="A112" t="s">
        <v>65</v>
      </c>
      <c r="E112" t="s">
        <v>61</v>
      </c>
    </row>
    <row r="113" spans="1:5" x14ac:dyDescent="0.2">
      <c r="A113" t="s">
        <v>66</v>
      </c>
      <c r="E113">
        <v>1</v>
      </c>
    </row>
    <row r="114" spans="1:5" x14ac:dyDescent="0.2">
      <c r="A114" t="s">
        <v>67</v>
      </c>
      <c r="E114" t="s">
        <v>11</v>
      </c>
    </row>
    <row r="115" spans="1:5" x14ac:dyDescent="0.2">
      <c r="A115" t="s">
        <v>68</v>
      </c>
      <c r="E115">
        <v>1</v>
      </c>
    </row>
    <row r="116" spans="1:5" x14ac:dyDescent="0.2">
      <c r="A116" t="s">
        <v>69</v>
      </c>
      <c r="E116" t="s">
        <v>11</v>
      </c>
    </row>
    <row r="117" spans="1:5" x14ac:dyDescent="0.2">
      <c r="A117" t="s">
        <v>70</v>
      </c>
      <c r="E117" t="s">
        <v>71</v>
      </c>
    </row>
    <row r="118" spans="1:5" x14ac:dyDescent="0.2">
      <c r="A118" t="s">
        <v>72</v>
      </c>
      <c r="E118" t="s">
        <v>40</v>
      </c>
    </row>
    <row r="119" spans="1:5" x14ac:dyDescent="0.2">
      <c r="A119" t="s">
        <v>73</v>
      </c>
      <c r="E119" t="s">
        <v>40</v>
      </c>
    </row>
    <row r="120" spans="1:5" x14ac:dyDescent="0.2">
      <c r="A120" t="s">
        <v>74</v>
      </c>
      <c r="E120" t="s">
        <v>75</v>
      </c>
    </row>
    <row r="122" spans="1:5" x14ac:dyDescent="0.2">
      <c r="A122" t="s">
        <v>76</v>
      </c>
    </row>
    <row r="123" spans="1:5" x14ac:dyDescent="0.2">
      <c r="A123" t="s">
        <v>77</v>
      </c>
      <c r="E123" t="s">
        <v>78</v>
      </c>
    </row>
    <row r="124" spans="1:5" x14ac:dyDescent="0.2">
      <c r="A124" t="s">
        <v>79</v>
      </c>
      <c r="E124">
        <v>8</v>
      </c>
    </row>
    <row r="125" spans="1:5" x14ac:dyDescent="0.2">
      <c r="A125" t="s">
        <v>80</v>
      </c>
      <c r="E125">
        <v>12</v>
      </c>
    </row>
    <row r="126" spans="1:5" x14ac:dyDescent="0.2">
      <c r="A126" t="s">
        <v>81</v>
      </c>
      <c r="E126">
        <v>96</v>
      </c>
    </row>
    <row r="127" spans="1:5" x14ac:dyDescent="0.2">
      <c r="A127" t="s">
        <v>82</v>
      </c>
      <c r="E127" t="s">
        <v>83</v>
      </c>
    </row>
    <row r="128" spans="1:5" x14ac:dyDescent="0.2">
      <c r="A128" t="s">
        <v>84</v>
      </c>
      <c r="E128" t="s">
        <v>85</v>
      </c>
    </row>
    <row r="129" spans="1:13" x14ac:dyDescent="0.2">
      <c r="A129" t="s">
        <v>86</v>
      </c>
      <c r="E129" t="s">
        <v>87</v>
      </c>
    </row>
    <row r="131" spans="1:13" x14ac:dyDescent="0.2">
      <c r="A131" t="s">
        <v>88</v>
      </c>
    </row>
    <row r="132" spans="1:13" x14ac:dyDescent="0.2">
      <c r="A132" t="s">
        <v>78</v>
      </c>
    </row>
    <row r="133" spans="1:13" x14ac:dyDescent="0.2">
      <c r="A133" t="s">
        <v>89</v>
      </c>
    </row>
    <row r="134" spans="1:13" x14ac:dyDescent="0.2">
      <c r="A134" t="s">
        <v>90</v>
      </c>
    </row>
    <row r="136" spans="1:13" x14ac:dyDescent="0.2">
      <c r="A136" t="s">
        <v>89</v>
      </c>
    </row>
    <row r="137" spans="1:13" x14ac:dyDescent="0.2">
      <c r="A137" t="s">
        <v>91</v>
      </c>
    </row>
    <row r="139" spans="1:13" x14ac:dyDescent="0.2">
      <c r="A139" t="s">
        <v>92</v>
      </c>
    </row>
    <row r="140" spans="1:13" x14ac:dyDescent="0.2">
      <c r="A140" t="s">
        <v>1</v>
      </c>
      <c r="E140">
        <v>1</v>
      </c>
    </row>
    <row r="142" spans="1:13" x14ac:dyDescent="0.2">
      <c r="B142">
        <v>1</v>
      </c>
      <c r="C142">
        <v>2</v>
      </c>
      <c r="D142">
        <v>3</v>
      </c>
      <c r="E142">
        <v>4</v>
      </c>
      <c r="F142">
        <v>5</v>
      </c>
      <c r="G142">
        <v>6</v>
      </c>
      <c r="H142">
        <v>7</v>
      </c>
      <c r="I142">
        <v>8</v>
      </c>
      <c r="J142">
        <v>9</v>
      </c>
      <c r="K142">
        <v>10</v>
      </c>
      <c r="L142">
        <v>11</v>
      </c>
      <c r="M142">
        <v>12</v>
      </c>
    </row>
    <row r="143" spans="1:13" x14ac:dyDescent="0.2">
      <c r="A143" t="s">
        <v>22</v>
      </c>
      <c r="B143" t="s">
        <v>93</v>
      </c>
      <c r="C143" t="s">
        <v>93</v>
      </c>
      <c r="D143" t="s">
        <v>94</v>
      </c>
      <c r="E143" t="s">
        <v>94</v>
      </c>
      <c r="F143" t="s">
        <v>95</v>
      </c>
      <c r="G143" t="s">
        <v>95</v>
      </c>
      <c r="H143" t="s">
        <v>96</v>
      </c>
      <c r="I143" t="s">
        <v>96</v>
      </c>
      <c r="J143" t="s">
        <v>97</v>
      </c>
      <c r="K143" t="s">
        <v>97</v>
      </c>
      <c r="L143" t="s">
        <v>98</v>
      </c>
      <c r="M143" t="s">
        <v>98</v>
      </c>
    </row>
    <row r="144" spans="1:13" x14ac:dyDescent="0.2">
      <c r="A144" t="s">
        <v>23</v>
      </c>
      <c r="B144" t="s">
        <v>99</v>
      </c>
      <c r="C144" t="s">
        <v>99</v>
      </c>
      <c r="D144" t="s">
        <v>100</v>
      </c>
      <c r="E144" t="s">
        <v>100</v>
      </c>
      <c r="F144" t="s">
        <v>101</v>
      </c>
      <c r="G144" t="s">
        <v>101</v>
      </c>
      <c r="H144" t="s">
        <v>102</v>
      </c>
      <c r="I144" t="s">
        <v>102</v>
      </c>
      <c r="J144" t="s">
        <v>103</v>
      </c>
      <c r="K144" t="s">
        <v>103</v>
      </c>
      <c r="L144" t="s">
        <v>98</v>
      </c>
      <c r="M144" t="s">
        <v>98</v>
      </c>
    </row>
    <row r="145" spans="1:13" x14ac:dyDescent="0.2">
      <c r="A145" t="s">
        <v>24</v>
      </c>
      <c r="B145" t="s">
        <v>104</v>
      </c>
      <c r="C145" t="s">
        <v>104</v>
      </c>
      <c r="D145" t="s">
        <v>105</v>
      </c>
      <c r="E145" t="s">
        <v>105</v>
      </c>
      <c r="F145" t="s">
        <v>106</v>
      </c>
      <c r="G145" t="s">
        <v>106</v>
      </c>
      <c r="H145" t="s">
        <v>107</v>
      </c>
      <c r="I145" t="s">
        <v>107</v>
      </c>
      <c r="J145" t="s">
        <v>98</v>
      </c>
      <c r="K145" t="s">
        <v>98</v>
      </c>
      <c r="L145" t="s">
        <v>98</v>
      </c>
      <c r="M145" t="s">
        <v>98</v>
      </c>
    </row>
    <row r="146" spans="1:13" x14ac:dyDescent="0.2">
      <c r="A146" t="s">
        <v>25</v>
      </c>
      <c r="B146" t="s">
        <v>108</v>
      </c>
      <c r="C146" t="s">
        <v>108</v>
      </c>
      <c r="D146" t="s">
        <v>109</v>
      </c>
      <c r="E146" t="s">
        <v>109</v>
      </c>
      <c r="F146" t="s">
        <v>110</v>
      </c>
      <c r="G146" t="s">
        <v>110</v>
      </c>
      <c r="H146" t="s">
        <v>111</v>
      </c>
      <c r="I146" t="s">
        <v>111</v>
      </c>
      <c r="J146" t="s">
        <v>98</v>
      </c>
      <c r="K146" t="s">
        <v>98</v>
      </c>
      <c r="L146" t="s">
        <v>98</v>
      </c>
      <c r="M146" t="s">
        <v>98</v>
      </c>
    </row>
    <row r="147" spans="1:13" x14ac:dyDescent="0.2">
      <c r="A147" t="s">
        <v>26</v>
      </c>
      <c r="B147" t="s">
        <v>112</v>
      </c>
      <c r="C147" t="s">
        <v>112</v>
      </c>
      <c r="D147" t="s">
        <v>113</v>
      </c>
      <c r="E147" t="s">
        <v>113</v>
      </c>
      <c r="F147" t="s">
        <v>114</v>
      </c>
      <c r="G147" t="s">
        <v>114</v>
      </c>
      <c r="H147" t="s">
        <v>115</v>
      </c>
      <c r="I147" t="s">
        <v>115</v>
      </c>
      <c r="J147" t="s">
        <v>98</v>
      </c>
      <c r="K147" t="s">
        <v>98</v>
      </c>
      <c r="L147" t="s">
        <v>98</v>
      </c>
      <c r="M147" t="s">
        <v>98</v>
      </c>
    </row>
    <row r="148" spans="1:13" x14ac:dyDescent="0.2">
      <c r="A148" t="s">
        <v>27</v>
      </c>
      <c r="B148" t="s">
        <v>116</v>
      </c>
      <c r="C148" t="s">
        <v>116</v>
      </c>
      <c r="D148" t="s">
        <v>117</v>
      </c>
      <c r="E148" t="s">
        <v>117</v>
      </c>
      <c r="F148" t="s">
        <v>118</v>
      </c>
      <c r="G148" t="s">
        <v>118</v>
      </c>
      <c r="H148" t="s">
        <v>119</v>
      </c>
      <c r="I148" t="s">
        <v>119</v>
      </c>
      <c r="J148" t="s">
        <v>98</v>
      </c>
      <c r="K148" t="s">
        <v>98</v>
      </c>
      <c r="L148" t="s">
        <v>98</v>
      </c>
      <c r="M148" t="s">
        <v>98</v>
      </c>
    </row>
    <row r="149" spans="1:13" x14ac:dyDescent="0.2">
      <c r="A149" t="s">
        <v>28</v>
      </c>
      <c r="B149" t="s">
        <v>120</v>
      </c>
      <c r="C149" t="s">
        <v>120</v>
      </c>
      <c r="D149" t="s">
        <v>121</v>
      </c>
      <c r="E149" t="s">
        <v>121</v>
      </c>
      <c r="F149" t="s">
        <v>122</v>
      </c>
      <c r="G149" t="s">
        <v>122</v>
      </c>
      <c r="H149" t="s">
        <v>123</v>
      </c>
      <c r="I149" t="s">
        <v>123</v>
      </c>
      <c r="J149" t="s">
        <v>98</v>
      </c>
      <c r="K149" t="s">
        <v>98</v>
      </c>
      <c r="L149" t="s">
        <v>98</v>
      </c>
      <c r="M149" t="s">
        <v>98</v>
      </c>
    </row>
    <row r="150" spans="1:13" x14ac:dyDescent="0.2">
      <c r="A150" t="s">
        <v>29</v>
      </c>
      <c r="B150" t="s">
        <v>124</v>
      </c>
      <c r="C150" t="s">
        <v>124</v>
      </c>
      <c r="D150" t="s">
        <v>125</v>
      </c>
      <c r="E150" t="s">
        <v>125</v>
      </c>
      <c r="F150" t="s">
        <v>126</v>
      </c>
      <c r="G150" t="s">
        <v>126</v>
      </c>
      <c r="H150" t="s">
        <v>127</v>
      </c>
      <c r="I150" t="s">
        <v>127</v>
      </c>
      <c r="J150" t="s">
        <v>98</v>
      </c>
      <c r="K150" t="s">
        <v>98</v>
      </c>
      <c r="L150" t="s">
        <v>98</v>
      </c>
      <c r="M150" t="s">
        <v>98</v>
      </c>
    </row>
    <row r="152" spans="1:13" x14ac:dyDescent="0.2">
      <c r="A152" t="s">
        <v>128</v>
      </c>
    </row>
    <row r="153" spans="1:13" x14ac:dyDescent="0.2">
      <c r="A153" t="s">
        <v>129</v>
      </c>
    </row>
    <row r="154" spans="1:13" x14ac:dyDescent="0.2">
      <c r="A154" t="s">
        <v>130</v>
      </c>
    </row>
    <row r="156" spans="1:13" x14ac:dyDescent="0.2">
      <c r="A156" t="s">
        <v>131</v>
      </c>
    </row>
    <row r="157" spans="1:13" x14ac:dyDescent="0.2">
      <c r="A157" t="s">
        <v>1</v>
      </c>
      <c r="E157">
        <v>1</v>
      </c>
    </row>
    <row r="158" spans="1:13" x14ac:dyDescent="0.2">
      <c r="A158" t="s">
        <v>132</v>
      </c>
      <c r="E158" t="s">
        <v>133</v>
      </c>
    </row>
    <row r="159" spans="1:13" x14ac:dyDescent="0.2">
      <c r="A159" t="s">
        <v>134</v>
      </c>
      <c r="E159" t="s">
        <v>135</v>
      </c>
    </row>
    <row r="160" spans="1:13" x14ac:dyDescent="0.2">
      <c r="A160" t="s">
        <v>136</v>
      </c>
      <c r="E160" t="s">
        <v>137</v>
      </c>
    </row>
    <row r="162" spans="1:5" x14ac:dyDescent="0.2">
      <c r="A162" t="s">
        <v>132</v>
      </c>
      <c r="E162" t="s">
        <v>138</v>
      </c>
    </row>
    <row r="163" spans="1:5" x14ac:dyDescent="0.2">
      <c r="A163" t="s">
        <v>134</v>
      </c>
      <c r="E163" t="s">
        <v>139</v>
      </c>
    </row>
    <row r="164" spans="1:5" x14ac:dyDescent="0.2">
      <c r="A164" t="s">
        <v>136</v>
      </c>
      <c r="E164" t="s">
        <v>140</v>
      </c>
    </row>
    <row r="165" spans="1:5" x14ac:dyDescent="0.2">
      <c r="A165" t="s">
        <v>141</v>
      </c>
      <c r="E165" t="s">
        <v>142</v>
      </c>
    </row>
    <row r="166" spans="1:5" x14ac:dyDescent="0.2">
      <c r="A166" t="s">
        <v>143</v>
      </c>
      <c r="E166" t="s">
        <v>144</v>
      </c>
    </row>
    <row r="167" spans="1:5" x14ac:dyDescent="0.2">
      <c r="A167" t="s">
        <v>145</v>
      </c>
      <c r="E167" t="s">
        <v>146</v>
      </c>
    </row>
    <row r="168" spans="1:5" x14ac:dyDescent="0.2">
      <c r="A168" t="s">
        <v>147</v>
      </c>
      <c r="E168" t="s">
        <v>40</v>
      </c>
    </row>
    <row r="169" spans="1:5" x14ac:dyDescent="0.2">
      <c r="A169" t="s">
        <v>148</v>
      </c>
      <c r="E169" t="s">
        <v>149</v>
      </c>
    </row>
    <row r="170" spans="1:5" x14ac:dyDescent="0.2">
      <c r="A170" t="s">
        <v>150</v>
      </c>
      <c r="E170" t="s">
        <v>149</v>
      </c>
    </row>
    <row r="171" spans="1:5" x14ac:dyDescent="0.2">
      <c r="A171" t="s">
        <v>151</v>
      </c>
      <c r="E171">
        <v>2000</v>
      </c>
    </row>
    <row r="172" spans="1:5" x14ac:dyDescent="0.2">
      <c r="A172" t="s">
        <v>152</v>
      </c>
      <c r="E172">
        <v>1500</v>
      </c>
    </row>
    <row r="173" spans="1:5" x14ac:dyDescent="0.2">
      <c r="A173" t="s">
        <v>153</v>
      </c>
      <c r="E173">
        <v>1000</v>
      </c>
    </row>
    <row r="174" spans="1:5" x14ac:dyDescent="0.2">
      <c r="A174" t="s">
        <v>154</v>
      </c>
      <c r="E174">
        <v>750</v>
      </c>
    </row>
    <row r="175" spans="1:5" x14ac:dyDescent="0.2">
      <c r="A175" t="s">
        <v>155</v>
      </c>
      <c r="E175">
        <v>500</v>
      </c>
    </row>
    <row r="176" spans="1:5" x14ac:dyDescent="0.2">
      <c r="A176" t="s">
        <v>156</v>
      </c>
      <c r="E176">
        <v>250</v>
      </c>
    </row>
    <row r="177" spans="1:5" x14ac:dyDescent="0.2">
      <c r="A177" t="s">
        <v>157</v>
      </c>
      <c r="E177">
        <v>125</v>
      </c>
    </row>
    <row r="178" spans="1:5" x14ac:dyDescent="0.2">
      <c r="A178" t="s">
        <v>158</v>
      </c>
      <c r="E178">
        <v>25</v>
      </c>
    </row>
    <row r="179" spans="1:5" x14ac:dyDescent="0.2">
      <c r="A179" t="s">
        <v>159</v>
      </c>
      <c r="E179">
        <v>0</v>
      </c>
    </row>
    <row r="180" spans="1:5" x14ac:dyDescent="0.2">
      <c r="A180" t="s">
        <v>160</v>
      </c>
      <c r="E180" t="s">
        <v>75</v>
      </c>
    </row>
    <row r="182" spans="1:5" x14ac:dyDescent="0.2">
      <c r="A182" t="s">
        <v>132</v>
      </c>
      <c r="E182" t="s">
        <v>161</v>
      </c>
    </row>
    <row r="183" spans="1:5" x14ac:dyDescent="0.2">
      <c r="A183" t="s">
        <v>134</v>
      </c>
      <c r="E183" t="s">
        <v>162</v>
      </c>
    </row>
    <row r="184" spans="1:5" x14ac:dyDescent="0.2">
      <c r="A184" t="s">
        <v>136</v>
      </c>
      <c r="E184" t="s">
        <v>163</v>
      </c>
    </row>
    <row r="186" spans="1:5" x14ac:dyDescent="0.2">
      <c r="A186" t="s">
        <v>132</v>
      </c>
      <c r="E186" t="s">
        <v>164</v>
      </c>
    </row>
    <row r="187" spans="1:5" x14ac:dyDescent="0.2">
      <c r="A187" t="s">
        <v>134</v>
      </c>
      <c r="E187" t="s">
        <v>165</v>
      </c>
    </row>
    <row r="188" spans="1:5" x14ac:dyDescent="0.2">
      <c r="A188" t="s">
        <v>136</v>
      </c>
      <c r="E188" t="s">
        <v>166</v>
      </c>
    </row>
    <row r="190" spans="1:5" x14ac:dyDescent="0.2">
      <c r="A190" t="s">
        <v>167</v>
      </c>
    </row>
    <row r="191" spans="1:5" x14ac:dyDescent="0.2">
      <c r="A191" t="s">
        <v>168</v>
      </c>
      <c r="E191" t="s">
        <v>169</v>
      </c>
    </row>
    <row r="192" spans="1:5" x14ac:dyDescent="0.2">
      <c r="A192" t="s">
        <v>170</v>
      </c>
      <c r="E192" t="s">
        <v>40</v>
      </c>
    </row>
    <row r="193" spans="1:5" x14ac:dyDescent="0.2">
      <c r="A193" t="s">
        <v>171</v>
      </c>
      <c r="E193" t="s">
        <v>172</v>
      </c>
    </row>
    <row r="194" spans="1:5" x14ac:dyDescent="0.2">
      <c r="A194" t="s">
        <v>173</v>
      </c>
      <c r="E194" t="s">
        <v>40</v>
      </c>
    </row>
    <row r="195" spans="1:5" x14ac:dyDescent="0.2">
      <c r="A195" t="s">
        <v>174</v>
      </c>
      <c r="E195" t="s">
        <v>175</v>
      </c>
    </row>
    <row r="196" spans="1:5" x14ac:dyDescent="0.2">
      <c r="A196" t="s">
        <v>176</v>
      </c>
      <c r="E196" t="s">
        <v>177</v>
      </c>
    </row>
    <row r="197" spans="1:5" x14ac:dyDescent="0.2">
      <c r="A197" t="s">
        <v>178</v>
      </c>
      <c r="E197" t="s">
        <v>179</v>
      </c>
    </row>
    <row r="199" spans="1:5" x14ac:dyDescent="0.2">
      <c r="A199" t="s">
        <v>180</v>
      </c>
    </row>
    <row r="200" spans="1:5" x14ac:dyDescent="0.2">
      <c r="A200" t="s">
        <v>181</v>
      </c>
    </row>
    <row r="201" spans="1:5" x14ac:dyDescent="0.2">
      <c r="A201" t="s">
        <v>182</v>
      </c>
    </row>
    <row r="202" spans="1:5" x14ac:dyDescent="0.2">
      <c r="A202" t="s">
        <v>183</v>
      </c>
      <c r="E202" t="s">
        <v>184</v>
      </c>
    </row>
    <row r="203" spans="1:5" x14ac:dyDescent="0.2">
      <c r="A203" t="s">
        <v>185</v>
      </c>
      <c r="E203">
        <v>500</v>
      </c>
    </row>
    <row r="204" spans="1:5" x14ac:dyDescent="0.2">
      <c r="A204" t="s">
        <v>186</v>
      </c>
      <c r="E204" t="s">
        <v>187</v>
      </c>
    </row>
    <row r="205" spans="1:5" x14ac:dyDescent="0.2">
      <c r="A205" t="s">
        <v>188</v>
      </c>
      <c r="E205" t="s">
        <v>189</v>
      </c>
    </row>
    <row r="206" spans="1:5" x14ac:dyDescent="0.2">
      <c r="A206" t="s">
        <v>190</v>
      </c>
      <c r="E206" t="s">
        <v>191</v>
      </c>
    </row>
    <row r="207" spans="1:5" x14ac:dyDescent="0.2">
      <c r="A207" t="s">
        <v>192</v>
      </c>
      <c r="E207">
        <v>1</v>
      </c>
    </row>
    <row r="208" spans="1:5" x14ac:dyDescent="0.2">
      <c r="A208" t="s">
        <v>193</v>
      </c>
      <c r="E208">
        <v>1</v>
      </c>
    </row>
    <row r="209" spans="1:5" x14ac:dyDescent="0.2">
      <c r="A209" t="s">
        <v>194</v>
      </c>
    </row>
    <row r="210" spans="1:5" x14ac:dyDescent="0.2">
      <c r="A210" t="s">
        <v>195</v>
      </c>
      <c r="E210" t="s">
        <v>23</v>
      </c>
    </row>
    <row r="211" spans="1:5" x14ac:dyDescent="0.2">
      <c r="A211" t="s">
        <v>196</v>
      </c>
      <c r="E211" t="s">
        <v>197</v>
      </c>
    </row>
    <row r="213" spans="1:5" x14ac:dyDescent="0.2">
      <c r="A213" t="s">
        <v>198</v>
      </c>
    </row>
    <row r="214" spans="1:5" x14ac:dyDescent="0.2">
      <c r="A214" t="s">
        <v>199</v>
      </c>
      <c r="E214" t="s">
        <v>23</v>
      </c>
    </row>
    <row r="215" spans="1:5" x14ac:dyDescent="0.2">
      <c r="A215" t="s">
        <v>200</v>
      </c>
      <c r="E215" t="s">
        <v>11</v>
      </c>
    </row>
    <row r="216" spans="1:5" x14ac:dyDescent="0.2">
      <c r="A216" t="s">
        <v>201</v>
      </c>
      <c r="E216" t="s">
        <v>202</v>
      </c>
    </row>
    <row r="217" spans="1:5" x14ac:dyDescent="0.2">
      <c r="A217" t="s">
        <v>203</v>
      </c>
      <c r="E217" t="s">
        <v>204</v>
      </c>
    </row>
    <row r="218" spans="1:5" x14ac:dyDescent="0.2">
      <c r="A218" t="s">
        <v>205</v>
      </c>
      <c r="E218">
        <v>10</v>
      </c>
    </row>
    <row r="219" spans="1:5" x14ac:dyDescent="0.2">
      <c r="A219" t="s">
        <v>206</v>
      </c>
      <c r="E219">
        <v>9</v>
      </c>
    </row>
    <row r="220" spans="1:5" x14ac:dyDescent="0.2">
      <c r="A220" t="s">
        <v>207</v>
      </c>
      <c r="E220" s="3">
        <v>1</v>
      </c>
    </row>
    <row r="221" spans="1:5" x14ac:dyDescent="0.2">
      <c r="A221" t="s">
        <v>208</v>
      </c>
      <c r="E221" s="3">
        <v>1</v>
      </c>
    </row>
    <row r="222" spans="1:5" x14ac:dyDescent="0.2">
      <c r="A222" t="s">
        <v>209</v>
      </c>
      <c r="E222" s="3">
        <v>1</v>
      </c>
    </row>
    <row r="223" spans="1:5" x14ac:dyDescent="0.2">
      <c r="A223" t="s">
        <v>210</v>
      </c>
      <c r="E223">
        <v>1</v>
      </c>
    </row>
    <row r="224" spans="1:5" x14ac:dyDescent="0.2">
      <c r="A224" t="s">
        <v>211</v>
      </c>
      <c r="E224">
        <v>63609</v>
      </c>
    </row>
    <row r="225" spans="1:5" x14ac:dyDescent="0.2">
      <c r="A225" t="s">
        <v>212</v>
      </c>
      <c r="E225" s="1">
        <v>44221.718761574077</v>
      </c>
    </row>
    <row r="226" spans="1:5" x14ac:dyDescent="0.2">
      <c r="A226" t="s">
        <v>213</v>
      </c>
      <c r="E226" t="s">
        <v>214</v>
      </c>
    </row>
    <row r="227" spans="1:5" x14ac:dyDescent="0.2">
      <c r="A227" t="s">
        <v>215</v>
      </c>
      <c r="E227" t="s">
        <v>40</v>
      </c>
    </row>
    <row r="229" spans="1:5" x14ac:dyDescent="0.2">
      <c r="A229" t="s">
        <v>216</v>
      </c>
    </row>
    <row r="230" spans="1:5" x14ac:dyDescent="0.2">
      <c r="A230" t="s">
        <v>217</v>
      </c>
      <c r="E230">
        <v>140</v>
      </c>
    </row>
    <row r="231" spans="1:5" x14ac:dyDescent="0.2">
      <c r="A231" t="s">
        <v>218</v>
      </c>
      <c r="E231" t="s">
        <v>149</v>
      </c>
    </row>
    <row r="232" spans="1:5" x14ac:dyDescent="0.2">
      <c r="A232" t="s">
        <v>219</v>
      </c>
      <c r="E232" t="s">
        <v>220</v>
      </c>
    </row>
    <row r="233" spans="1:5" x14ac:dyDescent="0.2">
      <c r="A233" t="s">
        <v>221</v>
      </c>
    </row>
    <row r="234" spans="1:5" x14ac:dyDescent="0.2">
      <c r="A234" t="s">
        <v>212</v>
      </c>
      <c r="E234" s="4">
        <v>40544</v>
      </c>
    </row>
    <row r="235" spans="1:5" x14ac:dyDescent="0.2">
      <c r="A235" t="s">
        <v>213</v>
      </c>
      <c r="E235" t="s">
        <v>222</v>
      </c>
    </row>
    <row r="236" spans="1:5" x14ac:dyDescent="0.2">
      <c r="A236" t="s">
        <v>215</v>
      </c>
      <c r="E236" t="s">
        <v>172</v>
      </c>
    </row>
    <row r="238" spans="1:5" x14ac:dyDescent="0.2">
      <c r="A238" t="s">
        <v>223</v>
      </c>
      <c r="E238">
        <v>141</v>
      </c>
    </row>
    <row r="239" spans="1:5" x14ac:dyDescent="0.2">
      <c r="A239" t="s">
        <v>218</v>
      </c>
      <c r="E239" t="s">
        <v>149</v>
      </c>
    </row>
    <row r="240" spans="1:5" x14ac:dyDescent="0.2">
      <c r="A240" t="s">
        <v>219</v>
      </c>
      <c r="E240" t="s">
        <v>224</v>
      </c>
    </row>
    <row r="241" spans="1:5" x14ac:dyDescent="0.2">
      <c r="A241" t="s">
        <v>221</v>
      </c>
    </row>
    <row r="242" spans="1:5" x14ac:dyDescent="0.2">
      <c r="A242" t="s">
        <v>212</v>
      </c>
      <c r="E242" s="4">
        <v>40544</v>
      </c>
    </row>
    <row r="243" spans="1:5" x14ac:dyDescent="0.2">
      <c r="A243" t="s">
        <v>213</v>
      </c>
      <c r="E243" t="s">
        <v>222</v>
      </c>
    </row>
    <row r="244" spans="1:5" x14ac:dyDescent="0.2">
      <c r="A244" t="s">
        <v>215</v>
      </c>
      <c r="E244" t="s">
        <v>172</v>
      </c>
    </row>
    <row r="246" spans="1:5" x14ac:dyDescent="0.2">
      <c r="A246" t="s">
        <v>225</v>
      </c>
      <c r="E246">
        <v>142</v>
      </c>
    </row>
    <row r="247" spans="1:5" x14ac:dyDescent="0.2">
      <c r="A247" t="s">
        <v>218</v>
      </c>
      <c r="E247" t="s">
        <v>149</v>
      </c>
    </row>
    <row r="248" spans="1:5" x14ac:dyDescent="0.2">
      <c r="A248" t="s">
        <v>219</v>
      </c>
      <c r="E248" t="s">
        <v>226</v>
      </c>
    </row>
    <row r="249" spans="1:5" x14ac:dyDescent="0.2">
      <c r="A249" t="s">
        <v>221</v>
      </c>
    </row>
    <row r="250" spans="1:5" x14ac:dyDescent="0.2">
      <c r="A250" t="s">
        <v>212</v>
      </c>
      <c r="E250" s="4">
        <v>40544</v>
      </c>
    </row>
    <row r="251" spans="1:5" x14ac:dyDescent="0.2">
      <c r="A251" t="s">
        <v>213</v>
      </c>
      <c r="E251" t="s">
        <v>222</v>
      </c>
    </row>
    <row r="252" spans="1:5" x14ac:dyDescent="0.2">
      <c r="A252" t="s">
        <v>215</v>
      </c>
      <c r="E252" t="s">
        <v>172</v>
      </c>
    </row>
    <row r="254" spans="1:5" x14ac:dyDescent="0.2">
      <c r="A254" t="s">
        <v>227</v>
      </c>
    </row>
    <row r="255" spans="1:5" x14ac:dyDescent="0.2">
      <c r="A255" t="s">
        <v>228</v>
      </c>
      <c r="E255">
        <v>23000584</v>
      </c>
    </row>
    <row r="256" spans="1:5" x14ac:dyDescent="0.2">
      <c r="A256" t="s">
        <v>229</v>
      </c>
      <c r="E256" t="s">
        <v>214</v>
      </c>
    </row>
    <row r="261" spans="1:1" x14ac:dyDescent="0.2">
      <c r="A261" t="s">
        <v>230</v>
      </c>
    </row>
    <row r="262" spans="1:1" x14ac:dyDescent="0.2">
      <c r="A262" t="s">
        <v>231</v>
      </c>
    </row>
    <row r="263" spans="1:1" x14ac:dyDescent="0.2">
      <c r="A263" t="s">
        <v>232</v>
      </c>
    </row>
    <row r="266" spans="1:1" x14ac:dyDescent="0.2">
      <c r="A266" t="s">
        <v>233</v>
      </c>
    </row>
    <row r="267" spans="1:1" x14ac:dyDescent="0.2">
      <c r="A267" t="s">
        <v>234</v>
      </c>
    </row>
    <row r="271" spans="1:1" x14ac:dyDescent="0.2">
      <c r="A271" t="s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06A0-92B8-4E40-BF79-B10AFFC95F78}">
  <dimension ref="A1:H19"/>
  <sheetViews>
    <sheetView tabSelected="1" workbookViewId="0">
      <selection activeCell="H18" sqref="H18:H19"/>
    </sheetView>
  </sheetViews>
  <sheetFormatPr baseColWidth="10" defaultRowHeight="16" x14ac:dyDescent="0.2"/>
  <sheetData>
    <row r="1" spans="1:7" x14ac:dyDescent="0.2">
      <c r="D1" t="s">
        <v>242</v>
      </c>
      <c r="E1" t="s">
        <v>243</v>
      </c>
      <c r="F1" t="s">
        <v>244</v>
      </c>
      <c r="G1" t="s">
        <v>248</v>
      </c>
    </row>
    <row r="2" spans="1:7" x14ac:dyDescent="0.2">
      <c r="A2" t="s">
        <v>236</v>
      </c>
      <c r="B2" t="s">
        <v>245</v>
      </c>
      <c r="C2" s="5">
        <v>51.768848063900002</v>
      </c>
      <c r="D2" s="5">
        <v>2</v>
      </c>
      <c r="E2" s="5">
        <f>C2*(10/D2)</f>
        <v>258.84424031949999</v>
      </c>
      <c r="F2" s="5">
        <f>E2/1000</f>
        <v>0.25884424031949999</v>
      </c>
      <c r="G2" s="5">
        <f>2/F2</f>
        <v>7.7266544448944821</v>
      </c>
    </row>
    <row r="3" spans="1:7" x14ac:dyDescent="0.2">
      <c r="A3" t="s">
        <v>237</v>
      </c>
      <c r="B3" t="s">
        <v>245</v>
      </c>
      <c r="C3" s="5">
        <v>13.7602359678</v>
      </c>
      <c r="D3" s="5">
        <v>2</v>
      </c>
      <c r="E3" s="5">
        <f t="shared" ref="E3:E19" si="0">C3*(10/D3)</f>
        <v>68.801179839</v>
      </c>
      <c r="F3" s="5">
        <f t="shared" ref="F3:F19" si="1">E3/1000</f>
        <v>6.8801179838999998E-2</v>
      </c>
      <c r="G3" s="5">
        <f t="shared" ref="G3:G19" si="2">2/F3</f>
        <v>29.069268938122171</v>
      </c>
    </row>
    <row r="4" spans="1:7" x14ac:dyDescent="0.2">
      <c r="A4" t="s">
        <v>238</v>
      </c>
      <c r="B4" t="s">
        <v>245</v>
      </c>
      <c r="C4" s="5">
        <v>94.080321906699993</v>
      </c>
      <c r="D4" s="5">
        <v>2</v>
      </c>
      <c r="E4" s="5">
        <f t="shared" si="0"/>
        <v>470.40160953349994</v>
      </c>
      <c r="F4" s="5">
        <f t="shared" si="1"/>
        <v>0.47040160953349991</v>
      </c>
      <c r="G4" s="5">
        <f t="shared" si="2"/>
        <v>4.2516861325866042</v>
      </c>
    </row>
    <row r="5" spans="1:7" x14ac:dyDescent="0.2">
      <c r="A5" t="s">
        <v>239</v>
      </c>
      <c r="B5" t="s">
        <v>245</v>
      </c>
      <c r="C5" s="5">
        <v>43.163124570400001</v>
      </c>
      <c r="D5" s="5">
        <v>2</v>
      </c>
      <c r="E5" s="5">
        <f t="shared" si="0"/>
        <v>215.81562285199999</v>
      </c>
      <c r="F5" s="5">
        <f t="shared" si="1"/>
        <v>0.21581562285199998</v>
      </c>
      <c r="G5" s="5">
        <f t="shared" si="2"/>
        <v>9.2671696959192857</v>
      </c>
    </row>
    <row r="6" spans="1:7" x14ac:dyDescent="0.2">
      <c r="A6" t="s">
        <v>240</v>
      </c>
      <c r="B6" t="s">
        <v>245</v>
      </c>
      <c r="C6" s="5">
        <v>12.325948718899999</v>
      </c>
      <c r="D6" s="5">
        <v>2</v>
      </c>
      <c r="E6" s="5">
        <f t="shared" si="0"/>
        <v>61.629743594499999</v>
      </c>
      <c r="F6" s="5">
        <f t="shared" si="1"/>
        <v>6.1629743594499999E-2</v>
      </c>
      <c r="G6" s="5">
        <f t="shared" si="2"/>
        <v>32.451863067275283</v>
      </c>
    </row>
    <row r="7" spans="1:7" x14ac:dyDescent="0.2">
      <c r="A7" t="s">
        <v>241</v>
      </c>
      <c r="B7" t="s">
        <v>245</v>
      </c>
      <c r="C7" s="5">
        <v>76.151731295299996</v>
      </c>
      <c r="D7" s="5">
        <v>2</v>
      </c>
      <c r="E7" s="5">
        <f t="shared" si="0"/>
        <v>380.75865647649999</v>
      </c>
      <c r="F7" s="5">
        <f t="shared" si="1"/>
        <v>0.38075865647649998</v>
      </c>
      <c r="G7" s="5">
        <f t="shared" si="2"/>
        <v>5.2526711237711226</v>
      </c>
    </row>
    <row r="8" spans="1:7" x14ac:dyDescent="0.2">
      <c r="A8" t="s">
        <v>236</v>
      </c>
      <c r="B8" t="s">
        <v>246</v>
      </c>
      <c r="C8" s="5">
        <v>35.9916883259</v>
      </c>
      <c r="D8" s="5">
        <v>5</v>
      </c>
      <c r="E8" s="5">
        <f t="shared" si="0"/>
        <v>71.9833766518</v>
      </c>
      <c r="F8" s="5">
        <f t="shared" si="1"/>
        <v>7.1983376651800005E-2</v>
      </c>
      <c r="G8" s="5">
        <f t="shared" si="2"/>
        <v>27.784192587608882</v>
      </c>
    </row>
    <row r="9" spans="1:7" x14ac:dyDescent="0.2">
      <c r="A9" t="s">
        <v>237</v>
      </c>
      <c r="B9" t="s">
        <v>246</v>
      </c>
      <c r="C9" s="5">
        <v>0.85165072761000005</v>
      </c>
      <c r="D9" s="5">
        <v>5</v>
      </c>
      <c r="E9" s="5">
        <f t="shared" si="0"/>
        <v>1.7033014552200001</v>
      </c>
      <c r="F9" s="5">
        <f t="shared" si="1"/>
        <v>1.7033014552200001E-3</v>
      </c>
      <c r="G9" s="5">
        <f t="shared" si="2"/>
        <v>1174.1902725854702</v>
      </c>
    </row>
    <row r="10" spans="1:7" x14ac:dyDescent="0.2">
      <c r="A10" t="s">
        <v>238</v>
      </c>
      <c r="B10" t="s">
        <v>246</v>
      </c>
      <c r="C10" s="5">
        <v>30.2545393302</v>
      </c>
      <c r="D10" s="5">
        <v>5</v>
      </c>
      <c r="E10" s="5">
        <f t="shared" si="0"/>
        <v>60.5090786604</v>
      </c>
      <c r="F10" s="5">
        <f t="shared" si="1"/>
        <v>6.0509078660399999E-2</v>
      </c>
      <c r="G10" s="5">
        <f t="shared" si="2"/>
        <v>33.052891306191619</v>
      </c>
    </row>
    <row r="11" spans="1:7" x14ac:dyDescent="0.2">
      <c r="A11" t="s">
        <v>239</v>
      </c>
      <c r="B11" t="s">
        <v>246</v>
      </c>
      <c r="C11" s="5">
        <v>5.8716560987899999</v>
      </c>
      <c r="D11" s="5">
        <v>5</v>
      </c>
      <c r="E11" s="5">
        <f t="shared" si="0"/>
        <v>11.74331219758</v>
      </c>
      <c r="F11" s="5">
        <f t="shared" si="1"/>
        <v>1.174331219758E-2</v>
      </c>
      <c r="G11" s="5">
        <f t="shared" si="2"/>
        <v>170.30970192652714</v>
      </c>
    </row>
    <row r="12" spans="1:7" x14ac:dyDescent="0.2">
      <c r="A12" t="s">
        <v>240</v>
      </c>
      <c r="B12" t="s">
        <v>246</v>
      </c>
      <c r="C12" s="5">
        <v>4.4373688498800004</v>
      </c>
      <c r="D12" s="5">
        <v>5</v>
      </c>
      <c r="E12" s="5">
        <f t="shared" si="0"/>
        <v>8.8747376997600007</v>
      </c>
      <c r="F12" s="5">
        <f t="shared" si="1"/>
        <v>8.8747376997600005E-3</v>
      </c>
      <c r="G12" s="5">
        <f t="shared" si="2"/>
        <v>225.3587731448205</v>
      </c>
    </row>
    <row r="13" spans="1:7" x14ac:dyDescent="0.2">
      <c r="A13" t="s">
        <v>241</v>
      </c>
      <c r="B13" t="s">
        <v>246</v>
      </c>
      <c r="C13" s="5">
        <v>23.083103085699999</v>
      </c>
      <c r="D13" s="5">
        <v>5</v>
      </c>
      <c r="E13" s="5">
        <f t="shared" si="0"/>
        <v>46.166206171399999</v>
      </c>
      <c r="F13" s="5">
        <f t="shared" si="1"/>
        <v>4.61662061714E-2</v>
      </c>
      <c r="G13" s="5">
        <f t="shared" si="2"/>
        <v>43.321731757092088</v>
      </c>
    </row>
    <row r="14" spans="1:7" x14ac:dyDescent="0.2">
      <c r="A14" t="s">
        <v>236</v>
      </c>
      <c r="B14" t="s">
        <v>247</v>
      </c>
      <c r="C14" s="5">
        <v>46.748842692700002</v>
      </c>
      <c r="D14" s="5">
        <v>5</v>
      </c>
      <c r="E14" s="5">
        <f t="shared" si="0"/>
        <v>93.497685385400004</v>
      </c>
      <c r="F14" s="5">
        <f t="shared" si="1"/>
        <v>9.3497685385400001E-2</v>
      </c>
      <c r="G14" s="5">
        <f t="shared" si="2"/>
        <v>21.390903868432098</v>
      </c>
    </row>
    <row r="15" spans="1:7" x14ac:dyDescent="0.2">
      <c r="A15" t="s">
        <v>237</v>
      </c>
      <c r="B15" t="s">
        <v>247</v>
      </c>
      <c r="C15" s="5">
        <v>23.083103085699999</v>
      </c>
      <c r="D15" s="5">
        <v>5</v>
      </c>
      <c r="E15" s="5">
        <f t="shared" si="0"/>
        <v>46.166206171399999</v>
      </c>
      <c r="F15" s="5">
        <f t="shared" si="1"/>
        <v>4.61662061714E-2</v>
      </c>
      <c r="G15" s="5">
        <f t="shared" si="2"/>
        <v>43.321731757092088</v>
      </c>
    </row>
    <row r="16" spans="1:7" x14ac:dyDescent="0.2">
      <c r="A16" t="s">
        <v>238</v>
      </c>
      <c r="B16" t="s">
        <v>247</v>
      </c>
      <c r="C16" s="5">
        <v>55.354566186100001</v>
      </c>
      <c r="D16" s="5">
        <v>5</v>
      </c>
      <c r="E16" s="5">
        <f t="shared" si="0"/>
        <v>110.7091323722</v>
      </c>
      <c r="F16" s="5">
        <f t="shared" si="1"/>
        <v>0.11070913237220001</v>
      </c>
      <c r="G16" s="5">
        <f t="shared" si="2"/>
        <v>18.065357004841065</v>
      </c>
    </row>
    <row r="17" spans="1:8" x14ac:dyDescent="0.2">
      <c r="A17" t="s">
        <v>239</v>
      </c>
      <c r="B17" t="s">
        <v>247</v>
      </c>
      <c r="C17" s="5">
        <v>45.314555443800003</v>
      </c>
      <c r="D17" s="5">
        <v>5</v>
      </c>
      <c r="E17" s="5">
        <f t="shared" si="0"/>
        <v>90.629110887600007</v>
      </c>
      <c r="F17" s="5">
        <f t="shared" si="1"/>
        <v>9.0629110887600006E-2</v>
      </c>
      <c r="G17" s="5">
        <f t="shared" si="2"/>
        <v>22.067964480865747</v>
      </c>
    </row>
    <row r="18" spans="1:8" x14ac:dyDescent="0.2">
      <c r="A18" t="s">
        <v>240</v>
      </c>
      <c r="B18" t="s">
        <v>247</v>
      </c>
      <c r="C18" s="5"/>
      <c r="D18" s="5">
        <v>5</v>
      </c>
      <c r="E18" s="5">
        <f t="shared" si="0"/>
        <v>0</v>
      </c>
      <c r="F18" s="5">
        <f t="shared" si="1"/>
        <v>0</v>
      </c>
      <c r="G18" s="5" t="e">
        <f t="shared" si="2"/>
        <v>#DIV/0!</v>
      </c>
      <c r="H18" s="5">
        <f>(1.0301*G6+13.254)</f>
        <v>46.68266414560027</v>
      </c>
    </row>
    <row r="19" spans="1:8" x14ac:dyDescent="0.2">
      <c r="A19" t="s">
        <v>241</v>
      </c>
      <c r="B19" t="s">
        <v>247</v>
      </c>
      <c r="C19" s="5"/>
      <c r="D19" s="5">
        <v>5</v>
      </c>
      <c r="E19" s="5">
        <f t="shared" si="0"/>
        <v>0</v>
      </c>
      <c r="F19" s="5">
        <f t="shared" si="1"/>
        <v>0</v>
      </c>
      <c r="G19" s="5" t="e">
        <f t="shared" si="2"/>
        <v>#DIV/0!</v>
      </c>
      <c r="H19" s="5">
        <f>(1.0301*G7+13.254)</f>
        <v>18.664776524596633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SA_BCA_02_17_21_Plate_2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Aryal</dc:creator>
  <cp:lastModifiedBy>Sameer Aryal</cp:lastModifiedBy>
  <dcterms:created xsi:type="dcterms:W3CDTF">2021-02-17T21:51:45Z</dcterms:created>
  <dcterms:modified xsi:type="dcterms:W3CDTF">2021-02-26T00:17:07Z</dcterms:modified>
</cp:coreProperties>
</file>