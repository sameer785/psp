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13_ncr:1_{2CD7D8CF-8FC9-2C47-973F-8E4C06F278A6}" xr6:coauthVersionLast="36" xr6:coauthVersionMax="36" xr10:uidLastSave="{00000000-0000-0000-0000-000000000000}"/>
  <bookViews>
    <workbookView xWindow="3040" yWindow="1300" windowWidth="28040" windowHeight="17440" activeTab="1" xr2:uid="{00000000-000D-0000-FFFF-FFFF00000000}"/>
  </bookViews>
  <sheets>
    <sheet name="02_17_21_BCA_Plate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2" i="2"/>
  <c r="J3" i="2"/>
  <c r="J4" i="2"/>
  <c r="J5" i="2"/>
  <c r="J6" i="2"/>
  <c r="J7" i="2"/>
  <c r="J2" i="2"/>
  <c r="I3" i="2"/>
  <c r="I4" i="2"/>
  <c r="I5" i="2"/>
  <c r="I6" i="2"/>
  <c r="I7" i="2"/>
  <c r="I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H3" i="2"/>
  <c r="H4" i="2"/>
  <c r="H5" i="2"/>
  <c r="H6" i="2"/>
  <c r="H7" i="2"/>
  <c r="H2" i="2"/>
  <c r="F24" i="2" l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E25" i="2"/>
  <c r="F25" i="2" s="1"/>
  <c r="E2" i="2"/>
  <c r="F2" i="2" s="1"/>
  <c r="C3" i="1" l="1"/>
  <c r="C26" i="1"/>
  <c r="C44" i="1"/>
  <c r="C62" i="1"/>
  <c r="C80" i="1"/>
  <c r="E106" i="1"/>
</calcChain>
</file>

<file path=xl/sharedStrings.xml><?xml version="1.0" encoding="utf-8"?>
<sst xmlns="http://schemas.openxmlformats.org/spreadsheetml/2006/main" count="611" uniqueCount="258">
  <si>
    <t xml:space="preserve">Plate information </t>
  </si>
  <si>
    <t>Plate</t>
  </si>
  <si>
    <t>Repeat</t>
  </si>
  <si>
    <t>Barcode</t>
  </si>
  <si>
    <t>Formula</t>
  </si>
  <si>
    <t>Inside temperature at start</t>
  </si>
  <si>
    <t>Inside temperature at end</t>
  </si>
  <si>
    <t>Ambient temperature at start</t>
  </si>
  <si>
    <t>Ambient temperature at end</t>
  </si>
  <si>
    <t>Measurement date</t>
  </si>
  <si>
    <t>Calc 1: Blank correction (Blanks on each plate) = X - B where X = Meas B B = Average of Blanks</t>
  </si>
  <si>
    <t>N/A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</si>
  <si>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</si>
  <si>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</si>
  <si>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</si>
  <si>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</si>
  <si>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</si>
  <si>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</si>
  <si>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</si>
  <si>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Meas B</t>
  </si>
  <si>
    <t>De=1st Ex=Btm Em=N/A</t>
  </si>
  <si>
    <t>Calculated results: Calc 1: Blank correction (Blanks on each plate) = X - B where X = Meas B B = Average of Blanks</t>
  </si>
  <si>
    <t>A</t>
  </si>
  <si>
    <t>B</t>
  </si>
  <si>
    <t>C</t>
  </si>
  <si>
    <t>D</t>
  </si>
  <si>
    <t>E</t>
  </si>
  <si>
    <t>F</t>
  </si>
  <si>
    <t>G</t>
  </si>
  <si>
    <t>H</t>
  </si>
  <si>
    <t xml:space="preserve">Curve information - Curve quality data </t>
  </si>
  <si>
    <t>Slope at 50% binding</t>
  </si>
  <si>
    <t>Intercept</t>
  </si>
  <si>
    <t>ED-20</t>
  </si>
  <si>
    <t>ED-50</t>
  </si>
  <si>
    <t>ED-80</t>
  </si>
  <si>
    <t>Correlation coefficient (R)</t>
  </si>
  <si>
    <t>Forced through origo</t>
  </si>
  <si>
    <t>Fitting status</t>
  </si>
  <si>
    <t>Calc 2: Curve fitting (blank corrected) = Curve fitting UNK calculation (blank corrected) where Measurement: Calc1: Blank correction (Blanks on each plate)</t>
  </si>
  <si>
    <t>No</t>
  </si>
  <si>
    <t>OK</t>
  </si>
  <si>
    <t>Calculated results: Calc 2: Curve fitting (blank corrected) = Curve fitting UNK calculation (blank corrected) where Measurement: Calc1: Blank correction (Blanks on each plate)</t>
  </si>
  <si>
    <t>Calc 3: Average of sample type = Average of samples where Measurement: Calc2: Curve fitting (blank corrected)  Sample: All samples</t>
  </si>
  <si>
    <t>Calculated results: Calc 3: Average of sample type = Average of samples where Measurement: Calc2: Curve fitting (blank corrected)  Sample: All samples</t>
  </si>
  <si>
    <t>Calc 4: %CV of sample type = 100 * SD / AVG where SD = Standard deviation of samples AVG = Average of samples Measurement: Calc2: Curve fitting (blank corrected)  Sample: All samples</t>
  </si>
  <si>
    <t>Calculated results: Calc 4: %CV of sample type = 100 * SD / AVG where SD = Standard deviation of samples AVG = Average of samples Measurement: Calc2: Curve fitting (blank corrected)  Sample: All samples</t>
  </si>
  <si>
    <t>Meas</t>
  </si>
  <si>
    <t>ScanX</t>
  </si>
  <si>
    <t>ScanY</t>
  </si>
  <si>
    <t>Measinfo</t>
  </si>
  <si>
    <t>Kinetics</t>
  </si>
  <si>
    <t>Results for Meas B -  (A)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</si>
  <si>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</si>
  <si>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</si>
  <si>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</si>
  <si>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</si>
  <si>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</si>
  <si>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Assay Started By: </t>
  </si>
  <si>
    <t xml:space="preserve">Protocol ID: </t>
  </si>
  <si>
    <t xml:space="preserve">Protocol Name: </t>
  </si>
  <si>
    <t>Sameer Aryal BCA Gold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</si>
  <si>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</si>
  <si>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</si>
  <si>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</si>
  <si>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</si>
  <si>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</si>
  <si>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</si>
  <si>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</si>
  <si>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</si>
  <si>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Mode of measurement</t>
  </si>
  <si>
    <t>By Rows 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</si>
  <si>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</si>
  <si>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</si>
  <si>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</si>
  <si>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</si>
  <si>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</si>
  <si>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</si>
  <si>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96 General</t>
  </si>
  <si>
    <t>Number of rows</t>
  </si>
  <si>
    <t>Number of columns</t>
  </si>
  <si>
    <t>Number of the wells in the plate</t>
  </si>
  <si>
    <t>Height of the plate</t>
  </si>
  <si>
    <t>14.35 mm</t>
  </si>
  <si>
    <t>Diameter of the well</t>
  </si>
  <si>
    <t>6.5 mm</t>
  </si>
  <si>
    <t>Volume of the well</t>
  </si>
  <si>
    <t>300 µl</t>
  </si>
  <si>
    <t>Coordinates of corners:</t>
  </si>
  <si>
    <t>14.38 mm x------------------------------------------------------ x 113.38 mm</t>
  </si>
  <si>
    <t>11.24 mm                                                           11.24 mm</t>
  </si>
  <si>
    <t>74.24 mm                                                           74.24 mm</t>
  </si>
  <si>
    <t>Platemap:</t>
  </si>
  <si>
    <t xml:space="preserve">STD1 </t>
  </si>
  <si>
    <t xml:space="preserve">STD9 </t>
  </si>
  <si>
    <t xml:space="preserve">UNK7 </t>
  </si>
  <si>
    <t>UNK15</t>
  </si>
  <si>
    <t>UNK23</t>
  </si>
  <si>
    <t xml:space="preserve">     </t>
  </si>
  <si>
    <t xml:space="preserve">STD2 </t>
  </si>
  <si>
    <t xml:space="preserve">BL   </t>
  </si>
  <si>
    <t xml:space="preserve">UNK8 </t>
  </si>
  <si>
    <t>UNK16</t>
  </si>
  <si>
    <t>UNK24</t>
  </si>
  <si>
    <t xml:space="preserve">STD3 </t>
  </si>
  <si>
    <t xml:space="preserve">UNK1 </t>
  </si>
  <si>
    <t xml:space="preserve">UNK9 </t>
  </si>
  <si>
    <t>UNK17</t>
  </si>
  <si>
    <t xml:space="preserve">STD4 </t>
  </si>
  <si>
    <t xml:space="preserve">UNK2 </t>
  </si>
  <si>
    <t>UNK10</t>
  </si>
  <si>
    <t>UNK18</t>
  </si>
  <si>
    <t xml:space="preserve">STD5 </t>
  </si>
  <si>
    <t xml:space="preserve">UNK3 </t>
  </si>
  <si>
    <t>UNK11</t>
  </si>
  <si>
    <t>UNK19</t>
  </si>
  <si>
    <t xml:space="preserve">STD6 </t>
  </si>
  <si>
    <t xml:space="preserve">UNK4 </t>
  </si>
  <si>
    <t>UNK12</t>
  </si>
  <si>
    <t>UNK20</t>
  </si>
  <si>
    <t xml:space="preserve">STD7 </t>
  </si>
  <si>
    <t xml:space="preserve">UNK5 </t>
  </si>
  <si>
    <t>UNK13</t>
  </si>
  <si>
    <t>UNK21</t>
  </si>
  <si>
    <t xml:space="preserve">STD8 </t>
  </si>
  <si>
    <t xml:space="preserve">UNK6 </t>
  </si>
  <si>
    <t>UNK14</t>
  </si>
  <si>
    <t>UNK22</t>
  </si>
  <si>
    <t xml:space="preserve"> STD - Standard</t>
  </si>
  <si>
    <t xml:space="preserve"> UNK - Unknown</t>
  </si>
  <si>
    <t xml:space="preserve"> BL - Blank</t>
  </si>
  <si>
    <t>Calculations:</t>
  </si>
  <si>
    <t xml:space="preserve"> Formula index</t>
  </si>
  <si>
    <t>Calc 1</t>
  </si>
  <si>
    <t xml:space="preserve"> Formula name</t>
  </si>
  <si>
    <t>Blank correction (Blanks on each plate)</t>
  </si>
  <si>
    <t xml:space="preserve"> Formula</t>
  </si>
  <si>
    <t>Blank correction (Blanks on each plate) where X = B B = Average of Blanks</t>
  </si>
  <si>
    <t>Calc 2</t>
  </si>
  <si>
    <t>Curve fitting (blank corrected)</t>
  </si>
  <si>
    <t>Curve fitting (blank corrected) where Measurement: Calc 1: Blank correction (Blanks on each plate)</t>
  </si>
  <si>
    <t xml:space="preserve"> Fitting</t>
  </si>
  <si>
    <t>Linear regression</t>
  </si>
  <si>
    <t xml:space="preserve"> Method Options</t>
  </si>
  <si>
    <t>Unweighted</t>
  </si>
  <si>
    <t xml:space="preserve"> Curve direction</t>
  </si>
  <si>
    <t>Indefinite</t>
  </si>
  <si>
    <t xml:space="preserve"> Use Outliers</t>
  </si>
  <si>
    <t xml:space="preserve"> X-axis transformation</t>
  </si>
  <si>
    <t>None</t>
  </si>
  <si>
    <t xml:space="preserve"> Y-axis transformation</t>
  </si>
  <si>
    <t xml:space="preserve"> STD1</t>
  </si>
  <si>
    <t xml:space="preserve"> STD2</t>
  </si>
  <si>
    <t xml:space="preserve"> STD3</t>
  </si>
  <si>
    <t xml:space="preserve"> STD4</t>
  </si>
  <si>
    <t xml:space="preserve"> STD5</t>
  </si>
  <si>
    <t xml:space="preserve"> STD6</t>
  </si>
  <si>
    <t xml:space="preserve"> STD7</t>
  </si>
  <si>
    <t xml:space="preserve"> STD8</t>
  </si>
  <si>
    <t xml:space="preserve"> STD9</t>
  </si>
  <si>
    <t xml:space="preserve"> Formula unit</t>
  </si>
  <si>
    <t>Calc 3</t>
  </si>
  <si>
    <t>Average of sample type</t>
  </si>
  <si>
    <t>Average of samples where Measurement: Calc 2: Curve fitting (blank corrected)  Sample: All samples</t>
  </si>
  <si>
    <t>Calc 4</t>
  </si>
  <si>
    <t>%CV of sample type</t>
  </si>
  <si>
    <t>100 * SD / AVG where SD = Standard deviation of samples AVG = Average of samples Measurement: Calc 2: Curve fitting (blank corrected)  Sample: All samples</t>
  </si>
  <si>
    <t>Auto export parameters:</t>
  </si>
  <si>
    <t>Export format</t>
  </si>
  <si>
    <t>Plate5</t>
  </si>
  <si>
    <t>Picture</t>
  </si>
  <si>
    <t>Add plate number to the file name</t>
  </si>
  <si>
    <t>Yes</t>
  </si>
  <si>
    <t>Each plate to separate file</t>
  </si>
  <si>
    <t>Field separator to use</t>
  </si>
  <si>
    <t>System</t>
  </si>
  <si>
    <t>File name format</t>
  </si>
  <si>
    <t>Z:\SameerAryal\02_17_21_BCA_Plate_1.csv</t>
  </si>
  <si>
    <t>Exported data</t>
  </si>
  <si>
    <t>MeasB:Result Calc1:Blank correction (Blanks on each plate) Calc2:Curve fitting (blank corrected) Calc3:Average of sample type Calc4:%CV of sample type</t>
  </si>
  <si>
    <t>Operations:</t>
  </si>
  <si>
    <t>Plate 1</t>
  </si>
  <si>
    <t xml:space="preserve">  Shake</t>
  </si>
  <si>
    <t xml:space="preserve">    Duration</t>
  </si>
  <si>
    <t>60 s</t>
  </si>
  <si>
    <t xml:space="preserve">    Speed</t>
  </si>
  <si>
    <t xml:space="preserve">    Diameter</t>
  </si>
  <si>
    <t>3 mm</t>
  </si>
  <si>
    <t xml:space="preserve">    Shake mode</t>
  </si>
  <si>
    <t>Linear</t>
  </si>
  <si>
    <t xml:space="preserve">    Plate location</t>
  </si>
  <si>
    <t>Inside</t>
  </si>
  <si>
    <t xml:space="preserve">    First assay/plate repeat affected</t>
  </si>
  <si>
    <t xml:space="preserve">    Last assay/plate repeat affected</t>
  </si>
  <si>
    <t xml:space="preserve">  Measurement</t>
  </si>
  <si>
    <t xml:space="preserve">    Meas</t>
  </si>
  <si>
    <t xml:space="preserve">    Tech</t>
  </si>
  <si>
    <t>Absorbance</t>
  </si>
  <si>
    <t>Measurements:</t>
  </si>
  <si>
    <t xml:space="preserve">Meas </t>
  </si>
  <si>
    <t>Exc. filter</t>
  </si>
  <si>
    <t>Excitation wavelength</t>
  </si>
  <si>
    <t>480 nm</t>
  </si>
  <si>
    <t>Measurement height</t>
  </si>
  <si>
    <t>7.5 mm</t>
  </si>
  <si>
    <t>Number of flashes</t>
  </si>
  <si>
    <t>Number of flashes integrated</t>
  </si>
  <si>
    <t>Flash power</t>
  </si>
  <si>
    <t>Excitation light</t>
  </si>
  <si>
    <t>Reference excitation light</t>
  </si>
  <si>
    <t>Reference AD gain</t>
  </si>
  <si>
    <t>Reference signal</t>
  </si>
  <si>
    <t>Last edited</t>
  </si>
  <si>
    <t>Last edited by</t>
  </si>
  <si>
    <t>EnSpire</t>
  </si>
  <si>
    <t>Factory preset</t>
  </si>
  <si>
    <t>Filters:</t>
  </si>
  <si>
    <t>Monochromator cutoff 230</t>
  </si>
  <si>
    <t>Filter polarization</t>
  </si>
  <si>
    <t>Description</t>
  </si>
  <si>
    <t>X230co Longpass=230nm  Tmin=90%</t>
  </si>
  <si>
    <t>Used with</t>
  </si>
  <si>
    <t>Installation</t>
  </si>
  <si>
    <t>Monochromator cutoff 360</t>
  </si>
  <si>
    <t>X360co Longpass=360nm  Tmin=90%</t>
  </si>
  <si>
    <t>Monochromator cutoff 585</t>
  </si>
  <si>
    <t>X585co Longpass=585nm  Tmin=75%</t>
  </si>
  <si>
    <t>Instrument:</t>
  </si>
  <si>
    <t>Serial number</t>
  </si>
  <si>
    <t>Nickname</t>
  </si>
  <si>
    <t>Exported with EnSpire Workstation version 4.13.3005.1482</t>
  </si>
  <si>
    <t>S1</t>
  </si>
  <si>
    <t>S2</t>
  </si>
  <si>
    <t>S3</t>
  </si>
  <si>
    <t>S4</t>
  </si>
  <si>
    <t>S5</t>
  </si>
  <si>
    <t>S6</t>
  </si>
  <si>
    <t>Nuc</t>
  </si>
  <si>
    <t>Extract</t>
  </si>
  <si>
    <t>Volume lysate</t>
  </si>
  <si>
    <t>Accountin for dilution</t>
  </si>
  <si>
    <t>In ug ul</t>
  </si>
  <si>
    <t>2ug</t>
  </si>
  <si>
    <t>To load 6 ug</t>
  </si>
  <si>
    <t>P2</t>
  </si>
  <si>
    <t>PSD</t>
  </si>
  <si>
    <t>2 ug</t>
  </si>
  <si>
    <t>6 ug</t>
  </si>
  <si>
    <t>Gel 1</t>
  </si>
  <si>
    <t>Gel 2</t>
  </si>
  <si>
    <t>Male</t>
  </si>
  <si>
    <t>Female</t>
  </si>
  <si>
    <t>Hippocampus</t>
  </si>
  <si>
    <t>Hip</t>
  </si>
  <si>
    <t>50uL of 2ug/5ul dilution</t>
  </si>
  <si>
    <t>Volume water</t>
  </si>
  <si>
    <t>Volume 6x sample buffer</t>
  </si>
  <si>
    <t>1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</si>
</sst>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47" fontId="0" fillId="0" borderId="0" xfId="0" applyNumberForma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"/>
  <sheetViews>
    <sheetView topLeftCell="A29" workbookViewId="0">
      <selection activeCell="E39" sqref="E39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3" x14ac:dyDescent="0.2">
      <c r="A3">
        <v>1</v>
      </c>
      <c r="B3">
        <v>1</v>
      </c>
      <c r="C3" t="str">
        <f>""</f>
        <v/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I3" s="1">
        <v>44244.516006944446</v>
      </c>
    </row>
    <row r="5" spans="1:13" x14ac:dyDescent="0.2">
      <c r="A5" t="s">
        <v>12</v>
      </c>
    </row>
    <row r="6" spans="1:13" x14ac:dyDescent="0.2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3" x14ac:dyDescent="0.2">
      <c r="A7">
        <v>1</v>
      </c>
      <c r="B7" t="s">
        <v>19</v>
      </c>
      <c r="C7">
        <v>0</v>
      </c>
      <c r="D7">
        <v>308920</v>
      </c>
      <c r="E7">
        <v>9</v>
      </c>
      <c r="F7" s="2">
        <v>0</v>
      </c>
      <c r="G7" t="s">
        <v>20</v>
      </c>
    </row>
    <row r="9" spans="1:13" x14ac:dyDescent="0.2">
      <c r="A9" t="s">
        <v>21</v>
      </c>
    </row>
    <row r="10" spans="1:13" x14ac:dyDescent="0.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22</v>
      </c>
      <c r="B11">
        <v>1.9844999999999999</v>
      </c>
      <c r="C11">
        <v>1.9245000000000001</v>
      </c>
      <c r="D11">
        <v>-6.4999999999999997E-3</v>
      </c>
      <c r="E11">
        <v>-7.4999999999999997E-3</v>
      </c>
      <c r="F11">
        <v>1.0235000000000001</v>
      </c>
      <c r="G11">
        <v>1.0595000000000001</v>
      </c>
      <c r="H11">
        <v>0.1905</v>
      </c>
      <c r="I11">
        <v>0.20549999999999999</v>
      </c>
      <c r="J11">
        <v>0.34250000000000003</v>
      </c>
      <c r="K11">
        <v>0.39350000000000002</v>
      </c>
    </row>
    <row r="12" spans="1:13" x14ac:dyDescent="0.2">
      <c r="A12" t="s">
        <v>23</v>
      </c>
      <c r="B12">
        <v>1.4935</v>
      </c>
      <c r="C12">
        <v>1.3265</v>
      </c>
      <c r="D12">
        <v>1.5E-3</v>
      </c>
      <c r="E12">
        <v>-1.5E-3</v>
      </c>
      <c r="F12">
        <v>0.51649999999999996</v>
      </c>
      <c r="G12">
        <v>0.53749999999999998</v>
      </c>
      <c r="H12">
        <v>0.10050000000000001</v>
      </c>
      <c r="I12">
        <v>0.1225</v>
      </c>
      <c r="J12">
        <v>0.48249999999999998</v>
      </c>
      <c r="K12">
        <v>0.52949999999999997</v>
      </c>
    </row>
    <row r="13" spans="1:13" x14ac:dyDescent="0.2">
      <c r="A13" t="s">
        <v>24</v>
      </c>
      <c r="B13">
        <v>1.0994999999999999</v>
      </c>
      <c r="C13">
        <v>0.96250000000000002</v>
      </c>
      <c r="D13">
        <v>0.1915</v>
      </c>
      <c r="E13">
        <v>0.30649999999999999</v>
      </c>
      <c r="F13">
        <v>0.91449999999999998</v>
      </c>
      <c r="G13">
        <v>0.97350000000000003</v>
      </c>
      <c r="H13">
        <v>6.9500000000000006E-2</v>
      </c>
      <c r="I13">
        <v>8.6499999999999994E-2</v>
      </c>
    </row>
    <row r="14" spans="1:13" x14ac:dyDescent="0.2">
      <c r="A14" t="s">
        <v>25</v>
      </c>
      <c r="B14">
        <v>0.78749999999999998</v>
      </c>
      <c r="C14">
        <v>0.74250000000000005</v>
      </c>
      <c r="D14">
        <v>0.1225</v>
      </c>
      <c r="E14">
        <v>0.1145</v>
      </c>
      <c r="F14">
        <v>0.84350000000000003</v>
      </c>
      <c r="G14">
        <v>0.86250000000000004</v>
      </c>
      <c r="H14">
        <v>0.1265</v>
      </c>
      <c r="I14">
        <v>0.16350000000000001</v>
      </c>
    </row>
    <row r="15" spans="1:13" x14ac:dyDescent="0.2">
      <c r="A15" t="s">
        <v>26</v>
      </c>
      <c r="B15">
        <v>0.58350000000000002</v>
      </c>
      <c r="C15">
        <v>0.49049999999999999</v>
      </c>
      <c r="D15">
        <v>0.3765</v>
      </c>
      <c r="E15">
        <v>0.36649999999999999</v>
      </c>
      <c r="F15">
        <v>0.70650000000000002</v>
      </c>
      <c r="G15">
        <v>0.74150000000000005</v>
      </c>
      <c r="H15">
        <v>0.41549999999999998</v>
      </c>
      <c r="I15">
        <v>0.46050000000000002</v>
      </c>
    </row>
    <row r="16" spans="1:13" x14ac:dyDescent="0.2">
      <c r="A16" t="s">
        <v>27</v>
      </c>
      <c r="B16">
        <v>0.27350000000000002</v>
      </c>
      <c r="C16">
        <v>0.25850000000000001</v>
      </c>
      <c r="D16">
        <v>0.29149999999999998</v>
      </c>
      <c r="E16">
        <v>0.28349999999999997</v>
      </c>
      <c r="F16">
        <v>0.96650000000000003</v>
      </c>
      <c r="G16">
        <v>0.98450000000000004</v>
      </c>
      <c r="H16">
        <v>0.20050000000000001</v>
      </c>
      <c r="I16">
        <v>0.1895</v>
      </c>
    </row>
    <row r="17" spans="1:13" x14ac:dyDescent="0.2">
      <c r="A17" t="s">
        <v>28</v>
      </c>
      <c r="B17">
        <v>0.1255</v>
      </c>
      <c r="C17">
        <v>9.0499999999999997E-2</v>
      </c>
      <c r="D17">
        <v>0.20949999999999999</v>
      </c>
      <c r="E17">
        <v>0.23250000000000001</v>
      </c>
      <c r="F17">
        <v>0.13550000000000001</v>
      </c>
      <c r="G17">
        <v>0.1295</v>
      </c>
      <c r="H17">
        <v>0.54449999999999998</v>
      </c>
      <c r="I17">
        <v>0.57050000000000001</v>
      </c>
    </row>
    <row r="18" spans="1:13" x14ac:dyDescent="0.2">
      <c r="A18" t="s">
        <v>29</v>
      </c>
      <c r="B18">
        <v>2.9499999999999998E-2</v>
      </c>
      <c r="C18">
        <v>1.0500000000000001E-2</v>
      </c>
      <c r="D18">
        <v>0.35949999999999999</v>
      </c>
      <c r="E18">
        <v>0.40849999999999997</v>
      </c>
      <c r="F18">
        <v>5.8500000000000003E-2</v>
      </c>
      <c r="G18">
        <v>6.7500000000000004E-2</v>
      </c>
      <c r="H18">
        <v>0.40050000000000002</v>
      </c>
      <c r="I18">
        <v>0.42949999999999999</v>
      </c>
    </row>
    <row r="20" spans="1:13" x14ac:dyDescent="0.2">
      <c r="A20" t="s">
        <v>30</v>
      </c>
    </row>
    <row r="21" spans="1:13" x14ac:dyDescent="0.2">
      <c r="A21" t="s">
        <v>4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</row>
    <row r="22" spans="1:13" x14ac:dyDescent="0.2">
      <c r="A22" t="s">
        <v>39</v>
      </c>
      <c r="B22">
        <v>9.6985295999999996E-4</v>
      </c>
      <c r="C22">
        <v>1.332270179E-2</v>
      </c>
      <c r="D22">
        <v>389.313963102</v>
      </c>
      <c r="E22">
        <v>993.89014749099999</v>
      </c>
      <c r="F22">
        <v>1598.4663318800001</v>
      </c>
      <c r="G22">
        <v>0.99874887947000002</v>
      </c>
      <c r="H22" t="s">
        <v>40</v>
      </c>
      <c r="I22" t="s">
        <v>41</v>
      </c>
    </row>
    <row r="24" spans="1:13" x14ac:dyDescent="0.2">
      <c r="A24" t="s">
        <v>0</v>
      </c>
    </row>
    <row r="25" spans="1:13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</row>
    <row r="26" spans="1:13" x14ac:dyDescent="0.2">
      <c r="A26">
        <v>1</v>
      </c>
      <c r="B26">
        <v>1</v>
      </c>
      <c r="C26" t="str">
        <f>""</f>
        <v/>
      </c>
      <c r="D26" t="s">
        <v>39</v>
      </c>
      <c r="E26" t="s">
        <v>11</v>
      </c>
      <c r="F26" t="s">
        <v>11</v>
      </c>
      <c r="G26" t="s">
        <v>11</v>
      </c>
      <c r="H26" t="s">
        <v>11</v>
      </c>
      <c r="I26" s="1">
        <v>44244.516006944446</v>
      </c>
    </row>
    <row r="28" spans="1:13" x14ac:dyDescent="0.2">
      <c r="A28" t="s">
        <v>12</v>
      </c>
    </row>
    <row r="29" spans="1:13" x14ac:dyDescent="0.2">
      <c r="A29" t="s">
        <v>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</row>
    <row r="31" spans="1:13" x14ac:dyDescent="0.2">
      <c r="A31" t="s">
        <v>42</v>
      </c>
    </row>
    <row r="32" spans="1:13" x14ac:dyDescent="0.2"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1" x14ac:dyDescent="0.2">
      <c r="A33" t="s">
        <v>22</v>
      </c>
      <c r="B33">
        <v>2032.44964562</v>
      </c>
      <c r="C33">
        <v>1970.58459733</v>
      </c>
      <c r="D33">
        <v>-20.438873388000001</v>
      </c>
      <c r="E33">
        <v>-21.469957526000002</v>
      </c>
      <c r="F33">
        <v>1041.5777888800001</v>
      </c>
      <c r="G33">
        <v>1078.6968178499999</v>
      </c>
      <c r="H33">
        <v>182.68470182199999</v>
      </c>
      <c r="I33">
        <v>198.150963894</v>
      </c>
      <c r="J33">
        <v>339.40949081700001</v>
      </c>
      <c r="K33">
        <v>391.99478186099998</v>
      </c>
    </row>
    <row r="34" spans="1:11" x14ac:dyDescent="0.2">
      <c r="A34" t="s">
        <v>23</v>
      </c>
      <c r="B34">
        <v>1526.1873338</v>
      </c>
      <c r="C34">
        <v>1353.9962827300001</v>
      </c>
      <c r="D34">
        <v>-12.190200282999999</v>
      </c>
      <c r="E34">
        <v>-15.283452698</v>
      </c>
      <c r="F34">
        <v>518.81813085099998</v>
      </c>
      <c r="G34">
        <v>540.47089775100005</v>
      </c>
      <c r="H34">
        <v>89.887129391100004</v>
      </c>
      <c r="I34">
        <v>112.57098043000001</v>
      </c>
      <c r="J34">
        <v>483.76127015399999</v>
      </c>
      <c r="K34">
        <v>532.22222464599997</v>
      </c>
    </row>
    <row r="35" spans="1:11" x14ac:dyDescent="0.2">
      <c r="A35" t="s">
        <v>24</v>
      </c>
      <c r="B35">
        <v>1119.94018338</v>
      </c>
      <c r="C35">
        <v>978.68165645399995</v>
      </c>
      <c r="D35">
        <v>183.71578596000001</v>
      </c>
      <c r="E35">
        <v>302.29046184499998</v>
      </c>
      <c r="F35">
        <v>929.18961782400004</v>
      </c>
      <c r="G35">
        <v>990.02358197299998</v>
      </c>
      <c r="H35">
        <v>57.923521109200003</v>
      </c>
      <c r="I35">
        <v>75.451951457299998</v>
      </c>
    </row>
    <row r="36" spans="1:11" x14ac:dyDescent="0.2">
      <c r="A36" t="s">
        <v>25</v>
      </c>
      <c r="B36">
        <v>798.24193228199999</v>
      </c>
      <c r="C36">
        <v>751.84314606600003</v>
      </c>
      <c r="D36">
        <v>112.57098043000001</v>
      </c>
      <c r="E36">
        <v>104.322307325</v>
      </c>
      <c r="F36">
        <v>855.98264401699998</v>
      </c>
      <c r="G36">
        <v>875.57324264099998</v>
      </c>
      <c r="H36">
        <v>116.69531698199999</v>
      </c>
      <c r="I36">
        <v>154.845430093</v>
      </c>
    </row>
    <row r="37" spans="1:11" x14ac:dyDescent="0.2">
      <c r="A37" t="s">
        <v>26</v>
      </c>
      <c r="B37">
        <v>587.900768105</v>
      </c>
      <c r="C37">
        <v>492.00994325900001</v>
      </c>
      <c r="D37">
        <v>374.46635151300001</v>
      </c>
      <c r="E37">
        <v>364.15551013200002</v>
      </c>
      <c r="F37">
        <v>714.72411709400001</v>
      </c>
      <c r="G37">
        <v>750.81206192800005</v>
      </c>
      <c r="H37">
        <v>414.67863290000003</v>
      </c>
      <c r="I37">
        <v>461.07741911599999</v>
      </c>
    </row>
    <row r="38" spans="1:11" x14ac:dyDescent="0.2">
      <c r="A38" t="s">
        <v>27</v>
      </c>
      <c r="B38">
        <v>268.26468528599997</v>
      </c>
      <c r="C38">
        <v>252.79842321500001</v>
      </c>
      <c r="D38">
        <v>286.82419977299998</v>
      </c>
      <c r="E38">
        <v>278.57552666800001</v>
      </c>
      <c r="F38">
        <v>982.80599300599999</v>
      </c>
      <c r="G38">
        <v>1001.36550749</v>
      </c>
      <c r="H38">
        <v>192.99554320300001</v>
      </c>
      <c r="I38">
        <v>181.65361768400001</v>
      </c>
    </row>
    <row r="39" spans="1:11" x14ac:dyDescent="0.2">
      <c r="A39" t="s">
        <v>28</v>
      </c>
      <c r="B39">
        <v>115.664232844</v>
      </c>
      <c r="C39">
        <v>79.576288009799995</v>
      </c>
      <c r="D39">
        <v>202.27530044700001</v>
      </c>
      <c r="E39">
        <v>225.99023562299999</v>
      </c>
      <c r="F39">
        <v>125.975074225</v>
      </c>
      <c r="G39">
        <v>119.788569397</v>
      </c>
      <c r="H39">
        <v>547.68848671800004</v>
      </c>
      <c r="I39">
        <v>574.49667430900001</v>
      </c>
    </row>
    <row r="40" spans="1:11" x14ac:dyDescent="0.2">
      <c r="A40" t="s">
        <v>29</v>
      </c>
      <c r="B40">
        <v>16.6801555843</v>
      </c>
      <c r="C40">
        <v>-2.9104430400000001</v>
      </c>
      <c r="D40">
        <v>356.93792116499998</v>
      </c>
      <c r="E40">
        <v>407.46104393299998</v>
      </c>
      <c r="F40">
        <v>46.581595589899997</v>
      </c>
      <c r="G40">
        <v>55.861352832999998</v>
      </c>
      <c r="H40">
        <v>399.21237082800002</v>
      </c>
      <c r="I40">
        <v>429.11381083399999</v>
      </c>
    </row>
    <row r="42" spans="1:11" x14ac:dyDescent="0.2">
      <c r="A42" t="s">
        <v>0</v>
      </c>
    </row>
    <row r="43" spans="1:11" x14ac:dyDescent="0.2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</row>
    <row r="44" spans="1:11" x14ac:dyDescent="0.2">
      <c r="A44">
        <v>1</v>
      </c>
      <c r="B44">
        <v>1</v>
      </c>
      <c r="C44" t="str">
        <f>""</f>
        <v/>
      </c>
      <c r="D44" t="s">
        <v>43</v>
      </c>
      <c r="E44" t="s">
        <v>11</v>
      </c>
      <c r="F44" t="s">
        <v>11</v>
      </c>
      <c r="G44" t="s">
        <v>11</v>
      </c>
      <c r="H44" t="s">
        <v>11</v>
      </c>
      <c r="I44" s="1">
        <v>44244.516006944446</v>
      </c>
    </row>
    <row r="46" spans="1:11" x14ac:dyDescent="0.2">
      <c r="A46" t="s">
        <v>12</v>
      </c>
    </row>
    <row r="47" spans="1:11" x14ac:dyDescent="0.2">
      <c r="A47" t="s">
        <v>1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</row>
    <row r="49" spans="1:13" x14ac:dyDescent="0.2">
      <c r="A49" t="s">
        <v>44</v>
      </c>
    </row>
    <row r="50" spans="1:13" x14ac:dyDescent="0.2"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</row>
    <row r="51" spans="1:13" x14ac:dyDescent="0.2">
      <c r="A51" t="s">
        <v>22</v>
      </c>
      <c r="B51">
        <v>2001.5171214699999</v>
      </c>
      <c r="C51">
        <v>2001.5171214699999</v>
      </c>
      <c r="D51">
        <v>-20.954415457</v>
      </c>
      <c r="E51">
        <v>-20.954415457</v>
      </c>
      <c r="F51">
        <v>1060.1373033699999</v>
      </c>
      <c r="G51">
        <v>1060.1373033699999</v>
      </c>
      <c r="H51">
        <v>190.417832858</v>
      </c>
      <c r="I51">
        <v>190.417832858</v>
      </c>
      <c r="J51">
        <v>365.70213633899999</v>
      </c>
      <c r="K51">
        <v>365.70213633899999</v>
      </c>
    </row>
    <row r="52" spans="1:13" x14ac:dyDescent="0.2">
      <c r="A52" t="s">
        <v>23</v>
      </c>
      <c r="B52">
        <v>1440.0918082600001</v>
      </c>
      <c r="C52">
        <v>1440.0918082600001</v>
      </c>
      <c r="D52">
        <v>-13.73682649</v>
      </c>
      <c r="E52">
        <v>-13.73682649</v>
      </c>
      <c r="F52">
        <v>529.64451430099996</v>
      </c>
      <c r="G52">
        <v>529.64451430099996</v>
      </c>
      <c r="H52">
        <v>101.22905491</v>
      </c>
      <c r="I52">
        <v>101.22905491</v>
      </c>
      <c r="J52">
        <v>507.99174740000001</v>
      </c>
      <c r="K52">
        <v>507.99174740000001</v>
      </c>
    </row>
    <row r="53" spans="1:13" x14ac:dyDescent="0.2">
      <c r="A53" t="s">
        <v>24</v>
      </c>
      <c r="B53">
        <v>1049.3109199200001</v>
      </c>
      <c r="C53">
        <v>1049.3109199200001</v>
      </c>
      <c r="D53">
        <v>243.003123902</v>
      </c>
      <c r="E53">
        <v>243.003123902</v>
      </c>
      <c r="F53">
        <v>959.60659989800001</v>
      </c>
      <c r="G53">
        <v>959.60659989800001</v>
      </c>
      <c r="H53">
        <v>66.687736283299998</v>
      </c>
      <c r="I53">
        <v>66.687736283299998</v>
      </c>
    </row>
    <row r="54" spans="1:13" x14ac:dyDescent="0.2">
      <c r="A54" t="s">
        <v>25</v>
      </c>
      <c r="B54">
        <v>775.04253917400001</v>
      </c>
      <c r="C54">
        <v>775.04253917400001</v>
      </c>
      <c r="D54">
        <v>108.446643877</v>
      </c>
      <c r="E54">
        <v>108.446643877</v>
      </c>
      <c r="F54">
        <v>865.77794332899998</v>
      </c>
      <c r="G54">
        <v>865.77794332899998</v>
      </c>
      <c r="H54">
        <v>135.770373538</v>
      </c>
      <c r="I54">
        <v>135.770373538</v>
      </c>
    </row>
    <row r="55" spans="1:13" x14ac:dyDescent="0.2">
      <c r="A55" t="s">
        <v>26</v>
      </c>
      <c r="B55">
        <v>539.955355682</v>
      </c>
      <c r="C55">
        <v>539.955355682</v>
      </c>
      <c r="D55">
        <v>369.31093082299998</v>
      </c>
      <c r="E55">
        <v>369.31093082299998</v>
      </c>
      <c r="F55">
        <v>732.76808951099997</v>
      </c>
      <c r="G55">
        <v>732.76808951099997</v>
      </c>
      <c r="H55">
        <v>437.87802600800001</v>
      </c>
      <c r="I55">
        <v>437.87802600800001</v>
      </c>
    </row>
    <row r="56" spans="1:13" x14ac:dyDescent="0.2">
      <c r="A56" t="s">
        <v>27</v>
      </c>
      <c r="B56">
        <v>260.53155425099999</v>
      </c>
      <c r="C56">
        <v>260.53155425099999</v>
      </c>
      <c r="D56">
        <v>282.69986322</v>
      </c>
      <c r="E56">
        <v>282.69986322</v>
      </c>
      <c r="F56">
        <v>992.08575024899994</v>
      </c>
      <c r="G56">
        <v>992.08575024899994</v>
      </c>
      <c r="H56">
        <v>187.32458044399999</v>
      </c>
      <c r="I56">
        <v>187.32458044399999</v>
      </c>
    </row>
    <row r="57" spans="1:13" x14ac:dyDescent="0.2">
      <c r="A57" t="s">
        <v>28</v>
      </c>
      <c r="B57">
        <v>97.620260427000005</v>
      </c>
      <c r="C57">
        <v>97.620260427000005</v>
      </c>
      <c r="D57">
        <v>214.132768035</v>
      </c>
      <c r="E57">
        <v>214.132768035</v>
      </c>
      <c r="F57">
        <v>122.88182181099999</v>
      </c>
      <c r="G57">
        <v>122.88182181099999</v>
      </c>
      <c r="H57">
        <v>561.09258051400002</v>
      </c>
      <c r="I57">
        <v>561.09258051400002</v>
      </c>
    </row>
    <row r="58" spans="1:13" x14ac:dyDescent="0.2">
      <c r="A58" t="s">
        <v>29</v>
      </c>
      <c r="B58">
        <v>6.8848562721300004</v>
      </c>
      <c r="C58">
        <v>6.8848562721300004</v>
      </c>
      <c r="D58">
        <v>382.19948254899998</v>
      </c>
      <c r="E58">
        <v>382.19948254899998</v>
      </c>
      <c r="F58">
        <v>51.2214742114</v>
      </c>
      <c r="G58">
        <v>51.2214742114</v>
      </c>
      <c r="H58">
        <v>414.16309083099998</v>
      </c>
      <c r="I58">
        <v>414.16309083099998</v>
      </c>
    </row>
    <row r="60" spans="1:13" x14ac:dyDescent="0.2">
      <c r="A60" t="s">
        <v>0</v>
      </c>
    </row>
    <row r="61" spans="1:13" x14ac:dyDescent="0.2">
      <c r="A61" t="s">
        <v>1</v>
      </c>
      <c r="B61" t="s">
        <v>2</v>
      </c>
      <c r="C61" t="s">
        <v>3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</row>
    <row r="62" spans="1:13" x14ac:dyDescent="0.2">
      <c r="A62">
        <v>1</v>
      </c>
      <c r="B62">
        <v>1</v>
      </c>
      <c r="C62" t="str">
        <f>""</f>
        <v/>
      </c>
      <c r="D62" t="s">
        <v>45</v>
      </c>
      <c r="E62" t="s">
        <v>11</v>
      </c>
      <c r="F62" t="s">
        <v>11</v>
      </c>
      <c r="G62" t="s">
        <v>11</v>
      </c>
      <c r="H62" t="s">
        <v>11</v>
      </c>
      <c r="I62" s="1">
        <v>44244.516006944446</v>
      </c>
    </row>
    <row r="64" spans="1:13" x14ac:dyDescent="0.2">
      <c r="A64" t="s">
        <v>12</v>
      </c>
    </row>
    <row r="65" spans="1:13" x14ac:dyDescent="0.2">
      <c r="A65" t="s">
        <v>1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7" spans="1:13" x14ac:dyDescent="0.2">
      <c r="A67" t="s">
        <v>46</v>
      </c>
    </row>
    <row r="68" spans="1:13" x14ac:dyDescent="0.2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</row>
    <row r="69" spans="1:13" x14ac:dyDescent="0.2">
      <c r="A69" t="s">
        <v>22</v>
      </c>
      <c r="B69">
        <v>2.18560184638</v>
      </c>
      <c r="C69">
        <v>2.18560184638</v>
      </c>
      <c r="D69">
        <v>-3.4793935794999999</v>
      </c>
      <c r="E69">
        <v>-3.4793935794999999</v>
      </c>
      <c r="F69">
        <v>2.4758224254700001</v>
      </c>
      <c r="G69">
        <v>2.4758224254700001</v>
      </c>
      <c r="H69">
        <v>5.7433164879899996</v>
      </c>
      <c r="I69">
        <v>5.7433164879899996</v>
      </c>
      <c r="J69">
        <v>10.1676780618</v>
      </c>
      <c r="K69">
        <v>10.1676780618</v>
      </c>
    </row>
    <row r="70" spans="1:13" x14ac:dyDescent="0.2">
      <c r="A70" t="s">
        <v>23</v>
      </c>
      <c r="B70">
        <v>8.4548401129799995</v>
      </c>
      <c r="C70">
        <v>8.4548401129799995</v>
      </c>
      <c r="D70">
        <v>-15.922598713999999</v>
      </c>
      <c r="E70">
        <v>-15.922598713999999</v>
      </c>
      <c r="F70">
        <v>2.8907725641400002</v>
      </c>
      <c r="G70">
        <v>2.8907725641400002</v>
      </c>
      <c r="H70">
        <v>15.8451591859</v>
      </c>
      <c r="I70">
        <v>15.8451591859</v>
      </c>
      <c r="J70">
        <v>6.7455957147500003</v>
      </c>
      <c r="K70">
        <v>6.7455957147500003</v>
      </c>
    </row>
    <row r="71" spans="1:13" x14ac:dyDescent="0.2">
      <c r="A71" t="s">
        <v>24</v>
      </c>
      <c r="B71">
        <v>9.5190910903399999</v>
      </c>
      <c r="C71">
        <v>9.5190910903399999</v>
      </c>
      <c r="D71">
        <v>34.503654129300003</v>
      </c>
      <c r="E71">
        <v>34.503654129300003</v>
      </c>
      <c r="F71">
        <v>4.4826816094200002</v>
      </c>
      <c r="G71">
        <v>4.4826816094200002</v>
      </c>
      <c r="H71">
        <v>18.5858339981</v>
      </c>
      <c r="I71">
        <v>18.5858339981</v>
      </c>
    </row>
    <row r="72" spans="1:13" x14ac:dyDescent="0.2">
      <c r="A72" t="s">
        <v>25</v>
      </c>
      <c r="B72">
        <v>4.2331736277100003</v>
      </c>
      <c r="C72">
        <v>4.2331736277100003</v>
      </c>
      <c r="D72">
        <v>5.3783985191200001</v>
      </c>
      <c r="E72">
        <v>5.3783985191200001</v>
      </c>
      <c r="F72">
        <v>1.6000228744</v>
      </c>
      <c r="G72">
        <v>1.6000228744</v>
      </c>
      <c r="H72">
        <v>19.868991283300002</v>
      </c>
      <c r="I72">
        <v>19.868991283300002</v>
      </c>
    </row>
    <row r="73" spans="1:13" x14ac:dyDescent="0.2">
      <c r="A73" t="s">
        <v>26</v>
      </c>
      <c r="B73">
        <v>12.557529393599999</v>
      </c>
      <c r="C73">
        <v>12.557529393599999</v>
      </c>
      <c r="D73">
        <v>1.97418090068</v>
      </c>
      <c r="E73">
        <v>1.97418090068</v>
      </c>
      <c r="F73">
        <v>3.4824156341800001</v>
      </c>
      <c r="G73">
        <v>3.4824156341800001</v>
      </c>
      <c r="H73">
        <v>7.4927021734699997</v>
      </c>
      <c r="I73">
        <v>7.4927021734699997</v>
      </c>
    </row>
    <row r="74" spans="1:13" x14ac:dyDescent="0.2">
      <c r="A74" t="s">
        <v>27</v>
      </c>
      <c r="B74">
        <v>4.1976868491300001</v>
      </c>
      <c r="C74">
        <v>4.1976868491300001</v>
      </c>
      <c r="D74">
        <v>2.0632102972699999</v>
      </c>
      <c r="E74">
        <v>2.0632102972699999</v>
      </c>
      <c r="F74">
        <v>1.32282502248</v>
      </c>
      <c r="G74">
        <v>1.32282502248</v>
      </c>
      <c r="H74">
        <v>4.2813134440000002</v>
      </c>
      <c r="I74">
        <v>4.2813134440000002</v>
      </c>
    </row>
    <row r="75" spans="1:13" x14ac:dyDescent="0.2">
      <c r="A75" t="s">
        <v>28</v>
      </c>
      <c r="B75">
        <v>26.140096737899999</v>
      </c>
      <c r="C75">
        <v>26.140096737899999</v>
      </c>
      <c r="D75">
        <v>7.8311188113899997</v>
      </c>
      <c r="E75">
        <v>7.8311188113899997</v>
      </c>
      <c r="F75">
        <v>3.5599403164600001</v>
      </c>
      <c r="G75">
        <v>3.5599403164600001</v>
      </c>
      <c r="H75">
        <v>3.3784533774700001</v>
      </c>
      <c r="I75">
        <v>3.3784533774700001</v>
      </c>
    </row>
    <row r="76" spans="1:13" x14ac:dyDescent="0.2">
      <c r="A76" t="s">
        <v>29</v>
      </c>
      <c r="B76">
        <v>201.20456531299999</v>
      </c>
      <c r="C76">
        <v>201.20456531299999</v>
      </c>
      <c r="D76">
        <v>9.3472765786400007</v>
      </c>
      <c r="E76">
        <v>9.3472765786400007</v>
      </c>
      <c r="F76">
        <v>12.810602145700001</v>
      </c>
      <c r="G76">
        <v>12.810602145700001</v>
      </c>
      <c r="H76">
        <v>5.1051171539100002</v>
      </c>
      <c r="I76">
        <v>5.1051171539100002</v>
      </c>
    </row>
    <row r="78" spans="1:13" x14ac:dyDescent="0.2">
      <c r="A78" t="s">
        <v>0</v>
      </c>
    </row>
    <row r="79" spans="1:13" x14ac:dyDescent="0.2">
      <c r="A79" t="s">
        <v>1</v>
      </c>
      <c r="B79" t="s">
        <v>2</v>
      </c>
      <c r="C79" t="s">
        <v>3</v>
      </c>
      <c r="D79" t="s">
        <v>5</v>
      </c>
      <c r="E79" t="s">
        <v>6</v>
      </c>
      <c r="F79" t="s">
        <v>7</v>
      </c>
      <c r="G79" t="s">
        <v>8</v>
      </c>
      <c r="H79" t="s">
        <v>47</v>
      </c>
      <c r="I79" t="s">
        <v>48</v>
      </c>
      <c r="J79" t="s">
        <v>49</v>
      </c>
      <c r="K79" t="s">
        <v>50</v>
      </c>
      <c r="L79" t="s">
        <v>51</v>
      </c>
      <c r="M79" t="s">
        <v>9</v>
      </c>
    </row>
    <row r="80" spans="1:13" x14ac:dyDescent="0.2">
      <c r="A80">
        <v>1</v>
      </c>
      <c r="B80">
        <v>1</v>
      </c>
      <c r="C80" t="str">
        <f>""</f>
        <v/>
      </c>
      <c r="D80">
        <v>26.55</v>
      </c>
      <c r="E80">
        <v>26.55</v>
      </c>
      <c r="F80">
        <v>25.2</v>
      </c>
      <c r="G80">
        <v>25</v>
      </c>
      <c r="H80" t="s">
        <v>19</v>
      </c>
      <c r="I80">
        <v>0</v>
      </c>
      <c r="J80">
        <v>0</v>
      </c>
      <c r="K80" t="s">
        <v>20</v>
      </c>
      <c r="L80">
        <v>1</v>
      </c>
      <c r="M80" s="1">
        <v>44244.516006944446</v>
      </c>
    </row>
    <row r="82" spans="1:13" x14ac:dyDescent="0.2">
      <c r="A82" t="s">
        <v>12</v>
      </c>
    </row>
    <row r="83" spans="1:13" x14ac:dyDescent="0.2">
      <c r="A83" t="s">
        <v>1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</row>
    <row r="84" spans="1:13" x14ac:dyDescent="0.2">
      <c r="A84">
        <v>1</v>
      </c>
      <c r="B84" t="s">
        <v>19</v>
      </c>
      <c r="C84">
        <v>0</v>
      </c>
      <c r="D84">
        <v>308920</v>
      </c>
      <c r="E84">
        <v>9</v>
      </c>
      <c r="F84" s="2">
        <v>0</v>
      </c>
      <c r="G84" t="s">
        <v>20</v>
      </c>
    </row>
    <row r="86" spans="1:13" x14ac:dyDescent="0.2">
      <c r="A86" t="s">
        <v>52</v>
      </c>
    </row>
    <row r="87" spans="1:13" x14ac:dyDescent="0.2"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 spans="1:13" x14ac:dyDescent="0.2">
      <c r="A88" t="s">
        <v>22</v>
      </c>
      <c r="B88">
        <v>2.6389999999999998</v>
      </c>
      <c r="C88">
        <v>2.5790000000000002</v>
      </c>
      <c r="D88">
        <v>0.64800000000000002</v>
      </c>
      <c r="E88">
        <v>0.64700000000000002</v>
      </c>
      <c r="F88">
        <v>1.6779999999999999</v>
      </c>
      <c r="G88">
        <v>1.714</v>
      </c>
      <c r="H88">
        <v>0.84499999999999997</v>
      </c>
      <c r="I88">
        <v>0.86</v>
      </c>
      <c r="J88">
        <v>0.997</v>
      </c>
      <c r="K88">
        <v>1.048</v>
      </c>
    </row>
    <row r="89" spans="1:13" x14ac:dyDescent="0.2">
      <c r="A89" t="s">
        <v>23</v>
      </c>
      <c r="B89">
        <v>2.1480000000000001</v>
      </c>
      <c r="C89">
        <v>1.9810000000000001</v>
      </c>
      <c r="D89">
        <v>0.65600000000000003</v>
      </c>
      <c r="E89">
        <v>0.65300000000000002</v>
      </c>
      <c r="F89">
        <v>1.171</v>
      </c>
      <c r="G89">
        <v>1.1919999999999999</v>
      </c>
      <c r="H89">
        <v>0.755</v>
      </c>
      <c r="I89">
        <v>0.77700000000000002</v>
      </c>
      <c r="J89">
        <v>1.137</v>
      </c>
      <c r="K89">
        <v>1.1839999999999999</v>
      </c>
    </row>
    <row r="90" spans="1:13" x14ac:dyDescent="0.2">
      <c r="A90" t="s">
        <v>24</v>
      </c>
      <c r="B90">
        <v>1.754</v>
      </c>
      <c r="C90">
        <v>1.617</v>
      </c>
      <c r="D90">
        <v>0.84599999999999997</v>
      </c>
      <c r="E90">
        <v>0.96099999999999997</v>
      </c>
      <c r="F90">
        <v>1.569</v>
      </c>
      <c r="G90">
        <v>1.6279999999999999</v>
      </c>
      <c r="H90">
        <v>0.72399999999999998</v>
      </c>
      <c r="I90">
        <v>0.74099999999999999</v>
      </c>
    </row>
    <row r="91" spans="1:13" x14ac:dyDescent="0.2">
      <c r="A91" t="s">
        <v>25</v>
      </c>
      <c r="B91">
        <v>1.4419999999999999</v>
      </c>
      <c r="C91">
        <v>1.397</v>
      </c>
      <c r="D91">
        <v>0.77700000000000002</v>
      </c>
      <c r="E91">
        <v>0.76900000000000002</v>
      </c>
      <c r="F91">
        <v>1.498</v>
      </c>
      <c r="G91">
        <v>1.5169999999999999</v>
      </c>
      <c r="H91">
        <v>0.78100000000000003</v>
      </c>
      <c r="I91">
        <v>0.81799999999999995</v>
      </c>
    </row>
    <row r="92" spans="1:13" x14ac:dyDescent="0.2">
      <c r="A92" t="s">
        <v>26</v>
      </c>
      <c r="B92">
        <v>1.238</v>
      </c>
      <c r="C92">
        <v>1.145</v>
      </c>
      <c r="D92">
        <v>1.0309999999999999</v>
      </c>
      <c r="E92">
        <v>1.0209999999999999</v>
      </c>
      <c r="F92">
        <v>1.361</v>
      </c>
      <c r="G92">
        <v>1.3959999999999999</v>
      </c>
      <c r="H92">
        <v>1.07</v>
      </c>
      <c r="I92">
        <v>1.115</v>
      </c>
    </row>
    <row r="93" spans="1:13" x14ac:dyDescent="0.2">
      <c r="A93" t="s">
        <v>27</v>
      </c>
      <c r="B93">
        <v>0.92800000000000005</v>
      </c>
      <c r="C93">
        <v>0.91300000000000003</v>
      </c>
      <c r="D93">
        <v>0.94599999999999995</v>
      </c>
      <c r="E93">
        <v>0.93799999999999994</v>
      </c>
      <c r="F93">
        <v>1.621</v>
      </c>
      <c r="G93">
        <v>1.639</v>
      </c>
      <c r="H93">
        <v>0.85499999999999998</v>
      </c>
      <c r="I93">
        <v>0.84399999999999997</v>
      </c>
    </row>
    <row r="94" spans="1:13" x14ac:dyDescent="0.2">
      <c r="A94" t="s">
        <v>28</v>
      </c>
      <c r="B94">
        <v>0.78</v>
      </c>
      <c r="C94">
        <v>0.745</v>
      </c>
      <c r="D94">
        <v>0.86399999999999999</v>
      </c>
      <c r="E94">
        <v>0.88700000000000001</v>
      </c>
      <c r="F94">
        <v>0.79</v>
      </c>
      <c r="G94">
        <v>0.78400000000000003</v>
      </c>
      <c r="H94">
        <v>1.1990000000000001</v>
      </c>
      <c r="I94">
        <v>1.2250000000000001</v>
      </c>
    </row>
    <row r="95" spans="1:13" x14ac:dyDescent="0.2">
      <c r="A95" t="s">
        <v>29</v>
      </c>
      <c r="B95">
        <v>0.68400000000000005</v>
      </c>
      <c r="C95">
        <v>0.66500000000000004</v>
      </c>
      <c r="D95">
        <v>1.014</v>
      </c>
      <c r="E95">
        <v>1.0629999999999999</v>
      </c>
      <c r="F95">
        <v>0.71299999999999997</v>
      </c>
      <c r="G95">
        <v>0.72199999999999998</v>
      </c>
      <c r="H95">
        <v>1.0549999999999999</v>
      </c>
      <c r="I95">
        <v>1.0840000000000001</v>
      </c>
    </row>
    <row r="98" spans="1:5" x14ac:dyDescent="0.2">
      <c r="A98" t="s">
        <v>53</v>
      </c>
    </row>
    <row r="99" spans="1:5" x14ac:dyDescent="0.2">
      <c r="A99" t="s">
        <v>54</v>
      </c>
      <c r="E99">
        <v>1746</v>
      </c>
    </row>
    <row r="100" spans="1:5" x14ac:dyDescent="0.2">
      <c r="A100" t="s">
        <v>55</v>
      </c>
      <c r="E100" s="1">
        <v>44244.514814814815</v>
      </c>
    </row>
    <row r="101" spans="1:5" x14ac:dyDescent="0.2">
      <c r="A101" t="s">
        <v>56</v>
      </c>
      <c r="E101" s="1">
        <v>44244.516331018516</v>
      </c>
    </row>
    <row r="102" spans="1:5" x14ac:dyDescent="0.2">
      <c r="A102" t="s">
        <v>57</v>
      </c>
      <c r="E102" s="1">
        <v>44244.519884259258</v>
      </c>
    </row>
    <row r="103" spans="1:5" x14ac:dyDescent="0.2">
      <c r="A103" t="s">
        <v>58</v>
      </c>
      <c r="E103" t="s">
        <v>11</v>
      </c>
    </row>
    <row r="104" spans="1:5" x14ac:dyDescent="0.2">
      <c r="A104" t="s">
        <v>59</v>
      </c>
      <c r="E104">
        <v>100175</v>
      </c>
    </row>
    <row r="105" spans="1:5" x14ac:dyDescent="0.2">
      <c r="A105" t="s">
        <v>60</v>
      </c>
      <c r="E105" t="s">
        <v>61</v>
      </c>
    </row>
    <row r="106" spans="1:5" x14ac:dyDescent="0.2">
      <c r="A106" t="s">
        <v>62</v>
      </c>
      <c r="E106" t="str">
        <f>"23000584"</f>
        <v>23000584</v>
      </c>
    </row>
    <row r="110" spans="1:5" x14ac:dyDescent="0.2">
      <c r="A110" t="s">
        <v>63</v>
      </c>
    </row>
    <row r="111" spans="1:5" x14ac:dyDescent="0.2">
      <c r="A111" t="s">
        <v>64</v>
      </c>
    </row>
    <row r="112" spans="1:5" x14ac:dyDescent="0.2">
      <c r="A112" t="s">
        <v>65</v>
      </c>
      <c r="E112" t="s">
        <v>61</v>
      </c>
    </row>
    <row r="113" spans="1:5" x14ac:dyDescent="0.2">
      <c r="A113" t="s">
        <v>66</v>
      </c>
      <c r="E113">
        <v>1</v>
      </c>
    </row>
    <row r="114" spans="1:5" x14ac:dyDescent="0.2">
      <c r="A114" t="s">
        <v>67</v>
      </c>
      <c r="E114" t="s">
        <v>11</v>
      </c>
    </row>
    <row r="115" spans="1:5" x14ac:dyDescent="0.2">
      <c r="A115" t="s">
        <v>68</v>
      </c>
      <c r="E115">
        <v>1</v>
      </c>
    </row>
    <row r="116" spans="1:5" x14ac:dyDescent="0.2">
      <c r="A116" t="s">
        <v>69</v>
      </c>
      <c r="E116" t="s">
        <v>11</v>
      </c>
    </row>
    <row r="117" spans="1:5" x14ac:dyDescent="0.2">
      <c r="A117" t="s">
        <v>70</v>
      </c>
      <c r="E117" t="s">
        <v>71</v>
      </c>
    </row>
    <row r="118" spans="1:5" x14ac:dyDescent="0.2">
      <c r="A118" t="s">
        <v>72</v>
      </c>
      <c r="E118" t="s">
        <v>40</v>
      </c>
    </row>
    <row r="119" spans="1:5" x14ac:dyDescent="0.2">
      <c r="A119" t="s">
        <v>73</v>
      </c>
      <c r="E119" t="s">
        <v>40</v>
      </c>
    </row>
    <row r="120" spans="1:5" x14ac:dyDescent="0.2">
      <c r="A120" t="s">
        <v>74</v>
      </c>
      <c r="E120" t="s">
        <v>75</v>
      </c>
    </row>
    <row r="122" spans="1:5" x14ac:dyDescent="0.2">
      <c r="A122" t="s">
        <v>76</v>
      </c>
    </row>
    <row r="123" spans="1:5" x14ac:dyDescent="0.2">
      <c r="A123" t="s">
        <v>77</v>
      </c>
      <c r="E123" t="s">
        <v>78</v>
      </c>
    </row>
    <row r="124" spans="1:5" x14ac:dyDescent="0.2">
      <c r="A124" t="s">
        <v>79</v>
      </c>
      <c r="E124">
        <v>8</v>
      </c>
    </row>
    <row r="125" spans="1:5" x14ac:dyDescent="0.2">
      <c r="A125" t="s">
        <v>80</v>
      </c>
      <c r="E125">
        <v>12</v>
      </c>
    </row>
    <row r="126" spans="1:5" x14ac:dyDescent="0.2">
      <c r="A126" t="s">
        <v>81</v>
      </c>
      <c r="E126">
        <v>96</v>
      </c>
    </row>
    <row r="127" spans="1:5" x14ac:dyDescent="0.2">
      <c r="A127" t="s">
        <v>82</v>
      </c>
      <c r="E127" t="s">
        <v>83</v>
      </c>
    </row>
    <row r="128" spans="1:5" x14ac:dyDescent="0.2">
      <c r="A128" t="s">
        <v>84</v>
      </c>
      <c r="E128" t="s">
        <v>85</v>
      </c>
    </row>
    <row r="129" spans="1:13" x14ac:dyDescent="0.2">
      <c r="A129" t="s">
        <v>86</v>
      </c>
      <c r="E129" t="s">
        <v>87</v>
      </c>
    </row>
    <row r="131" spans="1:13" x14ac:dyDescent="0.2">
      <c r="A131" t="s">
        <v>88</v>
      </c>
    </row>
    <row r="132" spans="1:13" x14ac:dyDescent="0.2">
      <c r="A132" t="s">
        <v>78</v>
      </c>
    </row>
    <row r="133" spans="1:13" x14ac:dyDescent="0.2">
      <c r="A133" t="s">
        <v>89</v>
      </c>
    </row>
    <row r="134" spans="1:13" x14ac:dyDescent="0.2">
      <c r="A134" t="s">
        <v>90</v>
      </c>
    </row>
    <row r="136" spans="1:13" x14ac:dyDescent="0.2">
      <c r="A136" t="s">
        <v>89</v>
      </c>
    </row>
    <row r="137" spans="1:13" x14ac:dyDescent="0.2">
      <c r="A137" t="s">
        <v>91</v>
      </c>
    </row>
    <row r="139" spans="1:13" x14ac:dyDescent="0.2">
      <c r="A139" t="s">
        <v>92</v>
      </c>
    </row>
    <row r="140" spans="1:13" x14ac:dyDescent="0.2">
      <c r="A140" t="s">
        <v>1</v>
      </c>
      <c r="E140">
        <v>1</v>
      </c>
    </row>
    <row r="142" spans="1:13" x14ac:dyDescent="0.2"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  <c r="H142">
        <v>7</v>
      </c>
      <c r="I142">
        <v>8</v>
      </c>
      <c r="J142">
        <v>9</v>
      </c>
      <c r="K142">
        <v>10</v>
      </c>
      <c r="L142">
        <v>11</v>
      </c>
      <c r="M142">
        <v>12</v>
      </c>
    </row>
    <row r="143" spans="1:13" x14ac:dyDescent="0.2">
      <c r="A143" t="s">
        <v>22</v>
      </c>
      <c r="B143" t="s">
        <v>93</v>
      </c>
      <c r="C143" t="s">
        <v>93</v>
      </c>
      <c r="D143" t="s">
        <v>94</v>
      </c>
      <c r="E143" t="s">
        <v>94</v>
      </c>
      <c r="F143" t="s">
        <v>95</v>
      </c>
      <c r="G143" t="s">
        <v>95</v>
      </c>
      <c r="H143" t="s">
        <v>96</v>
      </c>
      <c r="I143" t="s">
        <v>96</v>
      </c>
      <c r="J143" t="s">
        <v>97</v>
      </c>
      <c r="K143" t="s">
        <v>97</v>
      </c>
      <c r="L143" t="s">
        <v>98</v>
      </c>
      <c r="M143" t="s">
        <v>98</v>
      </c>
    </row>
    <row r="144" spans="1:13" x14ac:dyDescent="0.2">
      <c r="A144" t="s">
        <v>23</v>
      </c>
      <c r="B144" t="s">
        <v>99</v>
      </c>
      <c r="C144" t="s">
        <v>99</v>
      </c>
      <c r="D144" t="s">
        <v>100</v>
      </c>
      <c r="E144" t="s">
        <v>100</v>
      </c>
      <c r="F144" t="s">
        <v>101</v>
      </c>
      <c r="G144" t="s">
        <v>101</v>
      </c>
      <c r="H144" t="s">
        <v>102</v>
      </c>
      <c r="I144" t="s">
        <v>102</v>
      </c>
      <c r="J144" t="s">
        <v>103</v>
      </c>
      <c r="K144" t="s">
        <v>103</v>
      </c>
      <c r="L144" t="s">
        <v>98</v>
      </c>
      <c r="M144" t="s">
        <v>98</v>
      </c>
    </row>
    <row r="145" spans="1:13" x14ac:dyDescent="0.2">
      <c r="A145" t="s">
        <v>24</v>
      </c>
      <c r="B145" t="s">
        <v>104</v>
      </c>
      <c r="C145" t="s">
        <v>104</v>
      </c>
      <c r="D145" t="s">
        <v>105</v>
      </c>
      <c r="E145" t="s">
        <v>105</v>
      </c>
      <c r="F145" t="s">
        <v>106</v>
      </c>
      <c r="G145" t="s">
        <v>106</v>
      </c>
      <c r="H145" t="s">
        <v>107</v>
      </c>
      <c r="I145" t="s">
        <v>107</v>
      </c>
      <c r="J145" t="s">
        <v>98</v>
      </c>
      <c r="K145" t="s">
        <v>98</v>
      </c>
      <c r="L145" t="s">
        <v>98</v>
      </c>
      <c r="M145" t="s">
        <v>98</v>
      </c>
    </row>
    <row r="146" spans="1:13" x14ac:dyDescent="0.2">
      <c r="A146" t="s">
        <v>25</v>
      </c>
      <c r="B146" t="s">
        <v>108</v>
      </c>
      <c r="C146" t="s">
        <v>108</v>
      </c>
      <c r="D146" t="s">
        <v>109</v>
      </c>
      <c r="E146" t="s">
        <v>109</v>
      </c>
      <c r="F146" t="s">
        <v>110</v>
      </c>
      <c r="G146" t="s">
        <v>110</v>
      </c>
      <c r="H146" t="s">
        <v>111</v>
      </c>
      <c r="I146" t="s">
        <v>111</v>
      </c>
      <c r="J146" t="s">
        <v>98</v>
      </c>
      <c r="K146" t="s">
        <v>98</v>
      </c>
      <c r="L146" t="s">
        <v>98</v>
      </c>
      <c r="M146" t="s">
        <v>98</v>
      </c>
    </row>
    <row r="147" spans="1:13" x14ac:dyDescent="0.2">
      <c r="A147" t="s">
        <v>26</v>
      </c>
      <c r="B147" t="s">
        <v>112</v>
      </c>
      <c r="C147" t="s">
        <v>112</v>
      </c>
      <c r="D147" t="s">
        <v>113</v>
      </c>
      <c r="E147" t="s">
        <v>113</v>
      </c>
      <c r="F147" t="s">
        <v>114</v>
      </c>
      <c r="G147" t="s">
        <v>114</v>
      </c>
      <c r="H147" t="s">
        <v>115</v>
      </c>
      <c r="I147" t="s">
        <v>115</v>
      </c>
      <c r="J147" t="s">
        <v>98</v>
      </c>
      <c r="K147" t="s">
        <v>98</v>
      </c>
      <c r="L147" t="s">
        <v>98</v>
      </c>
      <c r="M147" t="s">
        <v>98</v>
      </c>
    </row>
    <row r="148" spans="1:13" x14ac:dyDescent="0.2">
      <c r="A148" t="s">
        <v>27</v>
      </c>
      <c r="B148" t="s">
        <v>116</v>
      </c>
      <c r="C148" t="s">
        <v>116</v>
      </c>
      <c r="D148" t="s">
        <v>117</v>
      </c>
      <c r="E148" t="s">
        <v>117</v>
      </c>
      <c r="F148" t="s">
        <v>118</v>
      </c>
      <c r="G148" t="s">
        <v>118</v>
      </c>
      <c r="H148" t="s">
        <v>119</v>
      </c>
      <c r="I148" t="s">
        <v>119</v>
      </c>
      <c r="J148" t="s">
        <v>98</v>
      </c>
      <c r="K148" t="s">
        <v>98</v>
      </c>
      <c r="L148" t="s">
        <v>98</v>
      </c>
      <c r="M148" t="s">
        <v>98</v>
      </c>
    </row>
    <row r="149" spans="1:13" x14ac:dyDescent="0.2">
      <c r="A149" t="s">
        <v>28</v>
      </c>
      <c r="B149" t="s">
        <v>120</v>
      </c>
      <c r="C149" t="s">
        <v>120</v>
      </c>
      <c r="D149" t="s">
        <v>121</v>
      </c>
      <c r="E149" t="s">
        <v>121</v>
      </c>
      <c r="F149" t="s">
        <v>122</v>
      </c>
      <c r="G149" t="s">
        <v>122</v>
      </c>
      <c r="H149" t="s">
        <v>123</v>
      </c>
      <c r="I149" t="s">
        <v>123</v>
      </c>
      <c r="J149" t="s">
        <v>98</v>
      </c>
      <c r="K149" t="s">
        <v>98</v>
      </c>
      <c r="L149" t="s">
        <v>98</v>
      </c>
      <c r="M149" t="s">
        <v>98</v>
      </c>
    </row>
    <row r="150" spans="1:13" x14ac:dyDescent="0.2">
      <c r="A150" t="s">
        <v>29</v>
      </c>
      <c r="B150" t="s">
        <v>124</v>
      </c>
      <c r="C150" t="s">
        <v>124</v>
      </c>
      <c r="D150" t="s">
        <v>125</v>
      </c>
      <c r="E150" t="s">
        <v>125</v>
      </c>
      <c r="F150" t="s">
        <v>126</v>
      </c>
      <c r="G150" t="s">
        <v>126</v>
      </c>
      <c r="H150" t="s">
        <v>127</v>
      </c>
      <c r="I150" t="s">
        <v>127</v>
      </c>
      <c r="J150" t="s">
        <v>98</v>
      </c>
      <c r="K150" t="s">
        <v>98</v>
      </c>
      <c r="L150" t="s">
        <v>98</v>
      </c>
      <c r="M150" t="s">
        <v>98</v>
      </c>
    </row>
    <row r="152" spans="1:13" x14ac:dyDescent="0.2">
      <c r="A152" t="s">
        <v>128</v>
      </c>
    </row>
    <row r="153" spans="1:13" x14ac:dyDescent="0.2">
      <c r="A153" t="s">
        <v>129</v>
      </c>
    </row>
    <row r="154" spans="1:13" x14ac:dyDescent="0.2">
      <c r="A154" t="s">
        <v>130</v>
      </c>
    </row>
    <row r="156" spans="1:13" x14ac:dyDescent="0.2">
      <c r="A156" t="s">
        <v>131</v>
      </c>
    </row>
    <row r="157" spans="1:13" x14ac:dyDescent="0.2">
      <c r="A157" t="s">
        <v>1</v>
      </c>
      <c r="E157">
        <v>1</v>
      </c>
    </row>
    <row r="158" spans="1:13" x14ac:dyDescent="0.2">
      <c r="A158" t="s">
        <v>132</v>
      </c>
      <c r="E158" t="s">
        <v>133</v>
      </c>
    </row>
    <row r="159" spans="1:13" x14ac:dyDescent="0.2">
      <c r="A159" t="s">
        <v>134</v>
      </c>
      <c r="E159" t="s">
        <v>135</v>
      </c>
    </row>
    <row r="160" spans="1:13" x14ac:dyDescent="0.2">
      <c r="A160" t="s">
        <v>136</v>
      </c>
      <c r="E160" t="s">
        <v>137</v>
      </c>
    </row>
    <row r="162" spans="1:5" x14ac:dyDescent="0.2">
      <c r="A162" t="s">
        <v>132</v>
      </c>
      <c r="E162" t="s">
        <v>138</v>
      </c>
    </row>
    <row r="163" spans="1:5" x14ac:dyDescent="0.2">
      <c r="A163" t="s">
        <v>134</v>
      </c>
      <c r="E163" t="s">
        <v>139</v>
      </c>
    </row>
    <row r="164" spans="1:5" x14ac:dyDescent="0.2">
      <c r="A164" t="s">
        <v>136</v>
      </c>
      <c r="E164" t="s">
        <v>140</v>
      </c>
    </row>
    <row r="165" spans="1:5" x14ac:dyDescent="0.2">
      <c r="A165" t="s">
        <v>141</v>
      </c>
      <c r="E165" t="s">
        <v>142</v>
      </c>
    </row>
    <row r="166" spans="1:5" x14ac:dyDescent="0.2">
      <c r="A166" t="s">
        <v>143</v>
      </c>
      <c r="E166" t="s">
        <v>144</v>
      </c>
    </row>
    <row r="167" spans="1:5" x14ac:dyDescent="0.2">
      <c r="A167" t="s">
        <v>145</v>
      </c>
      <c r="E167" t="s">
        <v>146</v>
      </c>
    </row>
    <row r="168" spans="1:5" x14ac:dyDescent="0.2">
      <c r="A168" t="s">
        <v>147</v>
      </c>
      <c r="E168" t="s">
        <v>40</v>
      </c>
    </row>
    <row r="169" spans="1:5" x14ac:dyDescent="0.2">
      <c r="A169" t="s">
        <v>148</v>
      </c>
      <c r="E169" t="s">
        <v>149</v>
      </c>
    </row>
    <row r="170" spans="1:5" x14ac:dyDescent="0.2">
      <c r="A170" t="s">
        <v>150</v>
      </c>
      <c r="E170" t="s">
        <v>149</v>
      </c>
    </row>
    <row r="171" spans="1:5" x14ac:dyDescent="0.2">
      <c r="A171" t="s">
        <v>151</v>
      </c>
      <c r="E171">
        <v>2000</v>
      </c>
    </row>
    <row r="172" spans="1:5" x14ac:dyDescent="0.2">
      <c r="A172" t="s">
        <v>152</v>
      </c>
      <c r="E172">
        <v>1500</v>
      </c>
    </row>
    <row r="173" spans="1:5" x14ac:dyDescent="0.2">
      <c r="A173" t="s">
        <v>153</v>
      </c>
      <c r="E173">
        <v>1000</v>
      </c>
    </row>
    <row r="174" spans="1:5" x14ac:dyDescent="0.2">
      <c r="A174" t="s">
        <v>154</v>
      </c>
      <c r="E174">
        <v>750</v>
      </c>
    </row>
    <row r="175" spans="1:5" x14ac:dyDescent="0.2">
      <c r="A175" t="s">
        <v>155</v>
      </c>
      <c r="E175">
        <v>500</v>
      </c>
    </row>
    <row r="176" spans="1:5" x14ac:dyDescent="0.2">
      <c r="A176" t="s">
        <v>156</v>
      </c>
      <c r="E176">
        <v>250</v>
      </c>
    </row>
    <row r="177" spans="1:5" x14ac:dyDescent="0.2">
      <c r="A177" t="s">
        <v>157</v>
      </c>
      <c r="E177">
        <v>125</v>
      </c>
    </row>
    <row r="178" spans="1:5" x14ac:dyDescent="0.2">
      <c r="A178" t="s">
        <v>158</v>
      </c>
      <c r="E178">
        <v>25</v>
      </c>
    </row>
    <row r="179" spans="1:5" x14ac:dyDescent="0.2">
      <c r="A179" t="s">
        <v>159</v>
      </c>
      <c r="E179">
        <v>0</v>
      </c>
    </row>
    <row r="180" spans="1:5" x14ac:dyDescent="0.2">
      <c r="A180" t="s">
        <v>160</v>
      </c>
      <c r="E180" t="s">
        <v>75</v>
      </c>
    </row>
    <row r="182" spans="1:5" x14ac:dyDescent="0.2">
      <c r="A182" t="s">
        <v>132</v>
      </c>
      <c r="E182" t="s">
        <v>161</v>
      </c>
    </row>
    <row r="183" spans="1:5" x14ac:dyDescent="0.2">
      <c r="A183" t="s">
        <v>134</v>
      </c>
      <c r="E183" t="s">
        <v>162</v>
      </c>
    </row>
    <row r="184" spans="1:5" x14ac:dyDescent="0.2">
      <c r="A184" t="s">
        <v>136</v>
      </c>
      <c r="E184" t="s">
        <v>163</v>
      </c>
    </row>
    <row r="186" spans="1:5" x14ac:dyDescent="0.2">
      <c r="A186" t="s">
        <v>132</v>
      </c>
      <c r="E186" t="s">
        <v>164</v>
      </c>
    </row>
    <row r="187" spans="1:5" x14ac:dyDescent="0.2">
      <c r="A187" t="s">
        <v>134</v>
      </c>
      <c r="E187" t="s">
        <v>165</v>
      </c>
    </row>
    <row r="188" spans="1:5" x14ac:dyDescent="0.2">
      <c r="A188" t="s">
        <v>136</v>
      </c>
      <c r="E188" t="s">
        <v>166</v>
      </c>
    </row>
    <row r="190" spans="1:5" x14ac:dyDescent="0.2">
      <c r="A190" t="s">
        <v>167</v>
      </c>
    </row>
    <row r="191" spans="1:5" x14ac:dyDescent="0.2">
      <c r="A191" t="s">
        <v>168</v>
      </c>
      <c r="E191" t="s">
        <v>169</v>
      </c>
    </row>
    <row r="192" spans="1:5" x14ac:dyDescent="0.2">
      <c r="A192" t="s">
        <v>170</v>
      </c>
      <c r="E192" t="s">
        <v>40</v>
      </c>
    </row>
    <row r="193" spans="1:5" x14ac:dyDescent="0.2">
      <c r="A193" t="s">
        <v>171</v>
      </c>
      <c r="E193" t="s">
        <v>172</v>
      </c>
    </row>
    <row r="194" spans="1:5" x14ac:dyDescent="0.2">
      <c r="A194" t="s">
        <v>173</v>
      </c>
      <c r="E194" t="s">
        <v>40</v>
      </c>
    </row>
    <row r="195" spans="1:5" x14ac:dyDescent="0.2">
      <c r="A195" t="s">
        <v>174</v>
      </c>
      <c r="E195" t="s">
        <v>175</v>
      </c>
    </row>
    <row r="196" spans="1:5" x14ac:dyDescent="0.2">
      <c r="A196" t="s">
        <v>176</v>
      </c>
      <c r="E196" t="s">
        <v>177</v>
      </c>
    </row>
    <row r="197" spans="1:5" x14ac:dyDescent="0.2">
      <c r="A197" t="s">
        <v>178</v>
      </c>
      <c r="E197" t="s">
        <v>179</v>
      </c>
    </row>
    <row r="199" spans="1:5" x14ac:dyDescent="0.2">
      <c r="A199" t="s">
        <v>180</v>
      </c>
    </row>
    <row r="200" spans="1:5" x14ac:dyDescent="0.2">
      <c r="A200" t="s">
        <v>181</v>
      </c>
    </row>
    <row r="201" spans="1:5" x14ac:dyDescent="0.2">
      <c r="A201" t="s">
        <v>182</v>
      </c>
    </row>
    <row r="202" spans="1:5" x14ac:dyDescent="0.2">
      <c r="A202" t="s">
        <v>183</v>
      </c>
      <c r="E202" t="s">
        <v>184</v>
      </c>
    </row>
    <row r="203" spans="1:5" x14ac:dyDescent="0.2">
      <c r="A203" t="s">
        <v>185</v>
      </c>
      <c r="E203">
        <v>500</v>
      </c>
    </row>
    <row r="204" spans="1:5" x14ac:dyDescent="0.2">
      <c r="A204" t="s">
        <v>186</v>
      </c>
      <c r="E204" t="s">
        <v>187</v>
      </c>
    </row>
    <row r="205" spans="1:5" x14ac:dyDescent="0.2">
      <c r="A205" t="s">
        <v>188</v>
      </c>
      <c r="E205" t="s">
        <v>189</v>
      </c>
    </row>
    <row r="206" spans="1:5" x14ac:dyDescent="0.2">
      <c r="A206" t="s">
        <v>190</v>
      </c>
      <c r="E206" t="s">
        <v>191</v>
      </c>
    </row>
    <row r="207" spans="1:5" x14ac:dyDescent="0.2">
      <c r="A207" t="s">
        <v>192</v>
      </c>
      <c r="E207">
        <v>1</v>
      </c>
    </row>
    <row r="208" spans="1:5" x14ac:dyDescent="0.2">
      <c r="A208" t="s">
        <v>193</v>
      </c>
      <c r="E208">
        <v>1</v>
      </c>
    </row>
    <row r="209" spans="1:5" x14ac:dyDescent="0.2">
      <c r="A209" t="s">
        <v>194</v>
      </c>
    </row>
    <row r="210" spans="1:5" x14ac:dyDescent="0.2">
      <c r="A210" t="s">
        <v>195</v>
      </c>
      <c r="E210" t="s">
        <v>23</v>
      </c>
    </row>
    <row r="211" spans="1:5" x14ac:dyDescent="0.2">
      <c r="A211" t="s">
        <v>196</v>
      </c>
      <c r="E211" t="s">
        <v>197</v>
      </c>
    </row>
    <row r="213" spans="1:5" x14ac:dyDescent="0.2">
      <c r="A213" t="s">
        <v>198</v>
      </c>
    </row>
    <row r="214" spans="1:5" x14ac:dyDescent="0.2">
      <c r="A214" t="s">
        <v>199</v>
      </c>
      <c r="E214" t="s">
        <v>23</v>
      </c>
    </row>
    <row r="215" spans="1:5" x14ac:dyDescent="0.2">
      <c r="A215" t="s">
        <v>200</v>
      </c>
      <c r="E215" t="s">
        <v>11</v>
      </c>
    </row>
    <row r="216" spans="1:5" x14ac:dyDescent="0.2">
      <c r="A216" t="s">
        <v>201</v>
      </c>
      <c r="E216" t="s">
        <v>202</v>
      </c>
    </row>
    <row r="217" spans="1:5" x14ac:dyDescent="0.2">
      <c r="A217" t="s">
        <v>203</v>
      </c>
      <c r="E217" t="s">
        <v>204</v>
      </c>
    </row>
    <row r="218" spans="1:5" x14ac:dyDescent="0.2">
      <c r="A218" t="s">
        <v>205</v>
      </c>
      <c r="E218">
        <v>10</v>
      </c>
    </row>
    <row r="219" spans="1:5" x14ac:dyDescent="0.2">
      <c r="A219" t="s">
        <v>206</v>
      </c>
      <c r="E219">
        <v>9</v>
      </c>
    </row>
    <row r="220" spans="1:5" x14ac:dyDescent="0.2">
      <c r="A220" t="s">
        <v>207</v>
      </c>
      <c r="E220" s="3">
        <v>1</v>
      </c>
    </row>
    <row r="221" spans="1:5" x14ac:dyDescent="0.2">
      <c r="A221" t="s">
        <v>208</v>
      </c>
      <c r="E221" s="3">
        <v>1</v>
      </c>
    </row>
    <row r="222" spans="1:5" x14ac:dyDescent="0.2">
      <c r="A222" t="s">
        <v>209</v>
      </c>
      <c r="E222" s="3">
        <v>1</v>
      </c>
    </row>
    <row r="223" spans="1:5" x14ac:dyDescent="0.2">
      <c r="A223" t="s">
        <v>210</v>
      </c>
      <c r="E223">
        <v>1</v>
      </c>
    </row>
    <row r="224" spans="1:5" x14ac:dyDescent="0.2">
      <c r="A224" t="s">
        <v>211</v>
      </c>
      <c r="E224">
        <v>63609</v>
      </c>
    </row>
    <row r="225" spans="1:5" x14ac:dyDescent="0.2">
      <c r="A225" t="s">
        <v>212</v>
      </c>
      <c r="E225" s="1">
        <v>44221.718761574077</v>
      </c>
    </row>
    <row r="226" spans="1:5" x14ac:dyDescent="0.2">
      <c r="A226" t="s">
        <v>213</v>
      </c>
      <c r="E226" t="s">
        <v>214</v>
      </c>
    </row>
    <row r="227" spans="1:5" x14ac:dyDescent="0.2">
      <c r="A227" t="s">
        <v>215</v>
      </c>
      <c r="E227" t="s">
        <v>40</v>
      </c>
    </row>
    <row r="229" spans="1:5" x14ac:dyDescent="0.2">
      <c r="A229" t="s">
        <v>216</v>
      </c>
    </row>
    <row r="230" spans="1:5" x14ac:dyDescent="0.2">
      <c r="A230" t="s">
        <v>217</v>
      </c>
      <c r="E230">
        <v>140</v>
      </c>
    </row>
    <row r="231" spans="1:5" x14ac:dyDescent="0.2">
      <c r="A231" t="s">
        <v>218</v>
      </c>
      <c r="E231" t="s">
        <v>149</v>
      </c>
    </row>
    <row r="232" spans="1:5" x14ac:dyDescent="0.2">
      <c r="A232" t="s">
        <v>219</v>
      </c>
      <c r="E232" t="s">
        <v>220</v>
      </c>
    </row>
    <row r="233" spans="1:5" x14ac:dyDescent="0.2">
      <c r="A233" t="s">
        <v>221</v>
      </c>
    </row>
    <row r="234" spans="1:5" x14ac:dyDescent="0.2">
      <c r="A234" t="s">
        <v>212</v>
      </c>
      <c r="E234" s="4">
        <v>40544</v>
      </c>
    </row>
    <row r="235" spans="1:5" x14ac:dyDescent="0.2">
      <c r="A235" t="s">
        <v>213</v>
      </c>
      <c r="E235" t="s">
        <v>222</v>
      </c>
    </row>
    <row r="236" spans="1:5" x14ac:dyDescent="0.2">
      <c r="A236" t="s">
        <v>215</v>
      </c>
      <c r="E236" t="s">
        <v>172</v>
      </c>
    </row>
    <row r="238" spans="1:5" x14ac:dyDescent="0.2">
      <c r="A238" t="s">
        <v>223</v>
      </c>
      <c r="E238">
        <v>141</v>
      </c>
    </row>
    <row r="239" spans="1:5" x14ac:dyDescent="0.2">
      <c r="A239" t="s">
        <v>218</v>
      </c>
      <c r="E239" t="s">
        <v>149</v>
      </c>
    </row>
    <row r="240" spans="1:5" x14ac:dyDescent="0.2">
      <c r="A240" t="s">
        <v>219</v>
      </c>
      <c r="E240" t="s">
        <v>224</v>
      </c>
    </row>
    <row r="241" spans="1:5" x14ac:dyDescent="0.2">
      <c r="A241" t="s">
        <v>221</v>
      </c>
    </row>
    <row r="242" spans="1:5" x14ac:dyDescent="0.2">
      <c r="A242" t="s">
        <v>212</v>
      </c>
      <c r="E242" s="4">
        <v>40544</v>
      </c>
    </row>
    <row r="243" spans="1:5" x14ac:dyDescent="0.2">
      <c r="A243" t="s">
        <v>213</v>
      </c>
      <c r="E243" t="s">
        <v>222</v>
      </c>
    </row>
    <row r="244" spans="1:5" x14ac:dyDescent="0.2">
      <c r="A244" t="s">
        <v>215</v>
      </c>
      <c r="E244" t="s">
        <v>172</v>
      </c>
    </row>
    <row r="246" spans="1:5" x14ac:dyDescent="0.2">
      <c r="A246" t="s">
        <v>225</v>
      </c>
      <c r="E246">
        <v>142</v>
      </c>
    </row>
    <row r="247" spans="1:5" x14ac:dyDescent="0.2">
      <c r="A247" t="s">
        <v>218</v>
      </c>
      <c r="E247" t="s">
        <v>149</v>
      </c>
    </row>
    <row r="248" spans="1:5" x14ac:dyDescent="0.2">
      <c r="A248" t="s">
        <v>219</v>
      </c>
      <c r="E248" t="s">
        <v>226</v>
      </c>
    </row>
    <row r="249" spans="1:5" x14ac:dyDescent="0.2">
      <c r="A249" t="s">
        <v>221</v>
      </c>
    </row>
    <row r="250" spans="1:5" x14ac:dyDescent="0.2">
      <c r="A250" t="s">
        <v>212</v>
      </c>
      <c r="E250" s="4">
        <v>40544</v>
      </c>
    </row>
    <row r="251" spans="1:5" x14ac:dyDescent="0.2">
      <c r="A251" t="s">
        <v>213</v>
      </c>
      <c r="E251" t="s">
        <v>222</v>
      </c>
    </row>
    <row r="252" spans="1:5" x14ac:dyDescent="0.2">
      <c r="A252" t="s">
        <v>215</v>
      </c>
      <c r="E252" t="s">
        <v>172</v>
      </c>
    </row>
    <row r="254" spans="1:5" x14ac:dyDescent="0.2">
      <c r="A254" t="s">
        <v>227</v>
      </c>
    </row>
    <row r="255" spans="1:5" x14ac:dyDescent="0.2">
      <c r="A255" t="s">
        <v>228</v>
      </c>
      <c r="E255">
        <v>23000584</v>
      </c>
    </row>
    <row r="256" spans="1:5" x14ac:dyDescent="0.2">
      <c r="A256" t="s">
        <v>229</v>
      </c>
      <c r="E256" t="s">
        <v>214</v>
      </c>
    </row>
    <row r="263" spans="1:1" x14ac:dyDescent="0.2">
      <c r="A263" t="s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EAC-FAF2-3E41-801E-664A7E4ECBA2}">
  <sheetPr>
    <pageSetUpPr fitToPage="1"/>
  </sheetPr>
  <dimension ref="A1:T33"/>
  <sheetViews>
    <sheetView tabSelected="1" workbookViewId="0">
      <selection activeCell="P34" sqref="P34"/>
    </sheetView>
  </sheetViews>
  <sheetFormatPr baseColWidth="10" defaultRowHeight="16" x14ac:dyDescent="0.2"/>
  <sheetData>
    <row r="1" spans="1:11" x14ac:dyDescent="0.2">
      <c r="A1" t="s">
        <v>252</v>
      </c>
      <c r="D1" t="s">
        <v>239</v>
      </c>
      <c r="E1" t="s">
        <v>240</v>
      </c>
      <c r="F1" t="s">
        <v>241</v>
      </c>
      <c r="G1" t="s">
        <v>243</v>
      </c>
      <c r="H1" t="s">
        <v>242</v>
      </c>
      <c r="I1" t="s">
        <v>254</v>
      </c>
      <c r="J1" t="s">
        <v>256</v>
      </c>
      <c r="K1" t="s">
        <v>255</v>
      </c>
    </row>
    <row r="2" spans="1:11" x14ac:dyDescent="0.2">
      <c r="A2" t="s">
        <v>231</v>
      </c>
      <c r="B2" t="s">
        <v>237</v>
      </c>
      <c r="C2">
        <v>243.003123902</v>
      </c>
      <c r="D2">
        <v>2</v>
      </c>
      <c r="E2">
        <f>C2*(10/D2)</f>
        <v>1215.0156195100001</v>
      </c>
      <c r="F2">
        <f>E2/1000</f>
        <v>1.2150156195100001</v>
      </c>
      <c r="G2" s="5">
        <f>6/F2</f>
        <v>4.9382081214887767</v>
      </c>
      <c r="H2" s="5">
        <f>2/F2</f>
        <v>1.6460693738295922</v>
      </c>
      <c r="I2" s="5">
        <f>20/F2</f>
        <v>16.460693738295923</v>
      </c>
      <c r="J2" s="5">
        <f>50/6</f>
        <v>8.3333333333333339</v>
      </c>
      <c r="K2" s="5">
        <f>50-J2-I2</f>
        <v>25.205972928370741</v>
      </c>
    </row>
    <row r="3" spans="1:11" x14ac:dyDescent="0.2">
      <c r="A3" t="s">
        <v>232</v>
      </c>
      <c r="B3" t="s">
        <v>237</v>
      </c>
      <c r="C3">
        <v>108.446643877</v>
      </c>
      <c r="D3">
        <v>2</v>
      </c>
      <c r="E3">
        <f t="shared" ref="E3:E25" si="0">C3*(10/D3)</f>
        <v>542.23321938499998</v>
      </c>
      <c r="F3">
        <f t="shared" ref="F3:F25" si="1">E3/1000</f>
        <v>0.54223321938500002</v>
      </c>
      <c r="G3" s="5">
        <f t="shared" ref="G3:G25" si="2">6/F3</f>
        <v>11.065349346919744</v>
      </c>
      <c r="H3" s="5">
        <f t="shared" ref="H3:H7" si="3">2/F3</f>
        <v>3.6884497823065812</v>
      </c>
      <c r="I3" s="5">
        <f t="shared" ref="I3:I7" si="4">20/F3</f>
        <v>36.884497823065814</v>
      </c>
      <c r="J3" s="5">
        <f t="shared" ref="J3:J7" si="5">50/6</f>
        <v>8.3333333333333339</v>
      </c>
      <c r="K3" s="5">
        <f t="shared" ref="K3:K7" si="6">50-J3-I3</f>
        <v>4.78216884360085</v>
      </c>
    </row>
    <row r="4" spans="1:11" x14ac:dyDescent="0.2">
      <c r="A4" t="s">
        <v>233</v>
      </c>
      <c r="B4" t="s">
        <v>237</v>
      </c>
      <c r="C4">
        <v>369.31093082299998</v>
      </c>
      <c r="D4">
        <v>2</v>
      </c>
      <c r="E4">
        <f t="shared" si="0"/>
        <v>1846.5546541149999</v>
      </c>
      <c r="F4">
        <f t="shared" si="1"/>
        <v>1.846554654115</v>
      </c>
      <c r="G4" s="5">
        <f t="shared" si="2"/>
        <v>3.2492945641382196</v>
      </c>
      <c r="H4" s="5">
        <f t="shared" si="3"/>
        <v>1.0830981880460733</v>
      </c>
      <c r="I4" s="5">
        <f t="shared" si="4"/>
        <v>10.830981880460733</v>
      </c>
      <c r="J4" s="5">
        <f t="shared" si="5"/>
        <v>8.3333333333333339</v>
      </c>
      <c r="K4" s="5">
        <f t="shared" si="6"/>
        <v>30.835684786205931</v>
      </c>
    </row>
    <row r="5" spans="1:11" x14ac:dyDescent="0.2">
      <c r="A5" t="s">
        <v>234</v>
      </c>
      <c r="B5" t="s">
        <v>237</v>
      </c>
      <c r="C5">
        <v>282.69986322</v>
      </c>
      <c r="D5">
        <v>2</v>
      </c>
      <c r="E5">
        <f t="shared" si="0"/>
        <v>1413.4993161</v>
      </c>
      <c r="F5">
        <f t="shared" si="1"/>
        <v>1.4134993161</v>
      </c>
      <c r="G5" s="5">
        <f t="shared" si="2"/>
        <v>4.2447845086721792</v>
      </c>
      <c r="H5" s="5">
        <f t="shared" si="3"/>
        <v>1.4149281695573932</v>
      </c>
      <c r="I5" s="5">
        <f t="shared" si="4"/>
        <v>14.149281695573931</v>
      </c>
      <c r="J5" s="5">
        <f t="shared" si="5"/>
        <v>8.3333333333333339</v>
      </c>
      <c r="K5" s="5">
        <f t="shared" si="6"/>
        <v>27.517384971092731</v>
      </c>
    </row>
    <row r="6" spans="1:11" x14ac:dyDescent="0.2">
      <c r="A6" t="s">
        <v>235</v>
      </c>
      <c r="B6" t="s">
        <v>237</v>
      </c>
      <c r="C6">
        <v>214.132768035</v>
      </c>
      <c r="D6">
        <v>2</v>
      </c>
      <c r="E6">
        <f t="shared" si="0"/>
        <v>1070.6638401749999</v>
      </c>
      <c r="F6">
        <f t="shared" si="1"/>
        <v>1.0706638401749999</v>
      </c>
      <c r="G6" s="5">
        <f t="shared" si="2"/>
        <v>5.6039998502417907</v>
      </c>
      <c r="H6" s="5">
        <f t="shared" si="3"/>
        <v>1.8679999500805968</v>
      </c>
      <c r="I6" s="5">
        <f t="shared" si="4"/>
        <v>18.67999950080597</v>
      </c>
      <c r="J6" s="5">
        <f t="shared" si="5"/>
        <v>8.3333333333333339</v>
      </c>
      <c r="K6" s="5">
        <f t="shared" si="6"/>
        <v>22.986667165860695</v>
      </c>
    </row>
    <row r="7" spans="1:11" x14ac:dyDescent="0.2">
      <c r="A7" t="s">
        <v>236</v>
      </c>
      <c r="B7" t="s">
        <v>237</v>
      </c>
      <c r="C7">
        <v>382.19948254899998</v>
      </c>
      <c r="D7">
        <v>2</v>
      </c>
      <c r="E7">
        <f t="shared" si="0"/>
        <v>1910.997412745</v>
      </c>
      <c r="F7">
        <f t="shared" si="1"/>
        <v>1.910997412745</v>
      </c>
      <c r="G7" s="5">
        <f t="shared" si="2"/>
        <v>3.13972167622219</v>
      </c>
      <c r="H7" s="5">
        <f t="shared" si="3"/>
        <v>1.0465738920740635</v>
      </c>
      <c r="I7" s="5">
        <f t="shared" si="4"/>
        <v>10.465738920740634</v>
      </c>
      <c r="J7" s="5">
        <f t="shared" si="5"/>
        <v>8.3333333333333339</v>
      </c>
      <c r="K7" s="5">
        <f t="shared" si="6"/>
        <v>31.20092774592603</v>
      </c>
    </row>
    <row r="8" spans="1:11" x14ac:dyDescent="0.2">
      <c r="A8" t="s">
        <v>231</v>
      </c>
      <c r="B8" t="s">
        <v>238</v>
      </c>
      <c r="C8">
        <v>1060.1373033699999</v>
      </c>
      <c r="D8">
        <v>5</v>
      </c>
      <c r="E8">
        <f t="shared" si="0"/>
        <v>2120.2746067399999</v>
      </c>
      <c r="F8">
        <f t="shared" si="1"/>
        <v>2.1202746067399998</v>
      </c>
      <c r="G8" s="5">
        <f t="shared" si="2"/>
        <v>2.829822128193678</v>
      </c>
    </row>
    <row r="9" spans="1:11" x14ac:dyDescent="0.2">
      <c r="A9" t="s">
        <v>232</v>
      </c>
      <c r="B9" t="s">
        <v>238</v>
      </c>
      <c r="C9">
        <v>529.64451430099996</v>
      </c>
      <c r="D9">
        <v>5</v>
      </c>
      <c r="E9">
        <f t="shared" si="0"/>
        <v>1059.2890286019999</v>
      </c>
      <c r="F9">
        <f t="shared" si="1"/>
        <v>1.059289028602</v>
      </c>
      <c r="G9" s="5">
        <f t="shared" si="2"/>
        <v>5.6641764787449169</v>
      </c>
    </row>
    <row r="10" spans="1:11" x14ac:dyDescent="0.2">
      <c r="A10" t="s">
        <v>233</v>
      </c>
      <c r="B10" t="s">
        <v>238</v>
      </c>
      <c r="C10">
        <v>959.60659989800001</v>
      </c>
      <c r="D10">
        <v>5</v>
      </c>
      <c r="E10">
        <f t="shared" si="0"/>
        <v>1919.213199796</v>
      </c>
      <c r="F10">
        <f t="shared" si="1"/>
        <v>1.919213199796</v>
      </c>
      <c r="G10" s="5">
        <f t="shared" si="2"/>
        <v>3.1262811242845565</v>
      </c>
    </row>
    <row r="11" spans="1:11" x14ac:dyDescent="0.2">
      <c r="A11" t="s">
        <v>234</v>
      </c>
      <c r="B11" t="s">
        <v>238</v>
      </c>
      <c r="C11">
        <v>865.77794332899998</v>
      </c>
      <c r="D11">
        <v>5</v>
      </c>
      <c r="E11">
        <f t="shared" si="0"/>
        <v>1731.555886658</v>
      </c>
      <c r="F11">
        <f t="shared" si="1"/>
        <v>1.7315558866579999</v>
      </c>
      <c r="G11" s="5">
        <f t="shared" si="2"/>
        <v>3.4650917398804477</v>
      </c>
    </row>
    <row r="12" spans="1:11" x14ac:dyDescent="0.2">
      <c r="A12" t="s">
        <v>235</v>
      </c>
      <c r="B12" t="s">
        <v>238</v>
      </c>
      <c r="C12">
        <v>732.76808951099997</v>
      </c>
      <c r="D12">
        <v>5</v>
      </c>
      <c r="E12">
        <f t="shared" si="0"/>
        <v>1465.5361790219999</v>
      </c>
      <c r="F12">
        <f t="shared" si="1"/>
        <v>1.4655361790219998</v>
      </c>
      <c r="G12" s="5">
        <f t="shared" si="2"/>
        <v>4.094064742914771</v>
      </c>
    </row>
    <row r="13" spans="1:11" x14ac:dyDescent="0.2">
      <c r="A13" t="s">
        <v>236</v>
      </c>
      <c r="B13" t="s">
        <v>238</v>
      </c>
      <c r="C13">
        <v>992.08575024899994</v>
      </c>
      <c r="D13">
        <v>5</v>
      </c>
      <c r="E13">
        <f t="shared" si="0"/>
        <v>1984.1715004979999</v>
      </c>
      <c r="F13">
        <f t="shared" si="1"/>
        <v>1.9841715004979998</v>
      </c>
      <c r="G13" s="5">
        <f t="shared" si="2"/>
        <v>3.0239321542992035</v>
      </c>
    </row>
    <row r="14" spans="1:11" x14ac:dyDescent="0.2">
      <c r="A14" t="s">
        <v>231</v>
      </c>
      <c r="B14" t="s">
        <v>231</v>
      </c>
      <c r="C14">
        <v>122.88182181099999</v>
      </c>
      <c r="D14">
        <v>2</v>
      </c>
      <c r="E14">
        <f t="shared" si="0"/>
        <v>614.40910905499993</v>
      </c>
      <c r="F14">
        <f t="shared" si="1"/>
        <v>0.6144091090549999</v>
      </c>
      <c r="G14" s="5">
        <f t="shared" si="2"/>
        <v>9.7654802176165312</v>
      </c>
    </row>
    <row r="15" spans="1:11" x14ac:dyDescent="0.2">
      <c r="A15" t="s">
        <v>232</v>
      </c>
      <c r="B15" t="s">
        <v>231</v>
      </c>
      <c r="C15">
        <v>51.2214742114</v>
      </c>
      <c r="D15">
        <v>2</v>
      </c>
      <c r="E15">
        <f t="shared" si="0"/>
        <v>256.10737105700002</v>
      </c>
      <c r="F15">
        <f t="shared" si="1"/>
        <v>0.25610737105700004</v>
      </c>
      <c r="G15" s="5">
        <f t="shared" si="2"/>
        <v>23.427674007338982</v>
      </c>
    </row>
    <row r="16" spans="1:11" x14ac:dyDescent="0.2">
      <c r="A16" t="s">
        <v>233</v>
      </c>
      <c r="B16" t="s">
        <v>231</v>
      </c>
      <c r="C16">
        <v>190.417832858</v>
      </c>
      <c r="D16">
        <v>2</v>
      </c>
      <c r="E16">
        <f t="shared" si="0"/>
        <v>952.08916428999999</v>
      </c>
      <c r="F16">
        <f t="shared" si="1"/>
        <v>0.95208916429000001</v>
      </c>
      <c r="G16" s="5">
        <f t="shared" si="2"/>
        <v>6.3019307697660549</v>
      </c>
    </row>
    <row r="17" spans="1:20" x14ac:dyDescent="0.2">
      <c r="A17" t="s">
        <v>234</v>
      </c>
      <c r="B17" t="s">
        <v>231</v>
      </c>
      <c r="C17">
        <v>101.22905491</v>
      </c>
      <c r="D17">
        <v>2</v>
      </c>
      <c r="E17">
        <f t="shared" si="0"/>
        <v>506.14527455000001</v>
      </c>
      <c r="F17">
        <f t="shared" si="1"/>
        <v>0.50614527455000002</v>
      </c>
      <c r="G17" s="5">
        <f t="shared" si="2"/>
        <v>11.854304093492598</v>
      </c>
    </row>
    <row r="18" spans="1:20" x14ac:dyDescent="0.2">
      <c r="A18" t="s">
        <v>235</v>
      </c>
      <c r="B18" t="s">
        <v>231</v>
      </c>
      <c r="C18">
        <v>66.687736283299998</v>
      </c>
      <c r="D18">
        <v>2</v>
      </c>
      <c r="E18">
        <f t="shared" si="0"/>
        <v>333.4386814165</v>
      </c>
      <c r="F18">
        <f t="shared" si="1"/>
        <v>0.33343868141650002</v>
      </c>
      <c r="G18" s="5">
        <f t="shared" si="2"/>
        <v>17.994313000852376</v>
      </c>
    </row>
    <row r="19" spans="1:20" x14ac:dyDescent="0.2">
      <c r="A19" t="s">
        <v>236</v>
      </c>
      <c r="B19" t="s">
        <v>231</v>
      </c>
      <c r="C19">
        <v>135.770373538</v>
      </c>
      <c r="D19">
        <v>2</v>
      </c>
      <c r="E19">
        <f t="shared" si="0"/>
        <v>678.85186769000006</v>
      </c>
      <c r="F19">
        <f t="shared" si="1"/>
        <v>0.67885186769000005</v>
      </c>
      <c r="G19" s="5">
        <f t="shared" si="2"/>
        <v>8.8384525189815335</v>
      </c>
    </row>
    <row r="20" spans="1:20" x14ac:dyDescent="0.2">
      <c r="A20" t="s">
        <v>231</v>
      </c>
      <c r="B20" t="s">
        <v>232</v>
      </c>
      <c r="C20">
        <v>437.87802600800001</v>
      </c>
      <c r="D20">
        <v>5</v>
      </c>
      <c r="E20">
        <f t="shared" si="0"/>
        <v>875.75605201600001</v>
      </c>
      <c r="F20">
        <f t="shared" si="1"/>
        <v>0.87575605201600004</v>
      </c>
      <c r="G20" s="5">
        <f t="shared" si="2"/>
        <v>6.8512229931930637</v>
      </c>
    </row>
    <row r="21" spans="1:20" x14ac:dyDescent="0.2">
      <c r="A21" t="s">
        <v>232</v>
      </c>
      <c r="B21" t="s">
        <v>232</v>
      </c>
      <c r="C21">
        <v>187.32458044399999</v>
      </c>
      <c r="D21">
        <v>5</v>
      </c>
      <c r="E21">
        <f t="shared" si="0"/>
        <v>374.64916088799998</v>
      </c>
      <c r="F21">
        <f t="shared" si="1"/>
        <v>0.37464916088799999</v>
      </c>
      <c r="G21" s="5">
        <f t="shared" si="2"/>
        <v>16.014983153248483</v>
      </c>
    </row>
    <row r="22" spans="1:20" x14ac:dyDescent="0.2">
      <c r="A22" t="s">
        <v>233</v>
      </c>
      <c r="B22" t="s">
        <v>232</v>
      </c>
      <c r="C22">
        <v>561.09258051400002</v>
      </c>
      <c r="D22">
        <v>5</v>
      </c>
      <c r="E22">
        <f t="shared" si="0"/>
        <v>1122.185161028</v>
      </c>
      <c r="F22">
        <f t="shared" si="1"/>
        <v>1.122185161028</v>
      </c>
      <c r="G22" s="5">
        <f t="shared" si="2"/>
        <v>5.3467112276761712</v>
      </c>
    </row>
    <row r="23" spans="1:20" x14ac:dyDescent="0.2">
      <c r="A23" t="s">
        <v>234</v>
      </c>
      <c r="B23" t="s">
        <v>232</v>
      </c>
      <c r="C23">
        <v>414.16309083099998</v>
      </c>
      <c r="D23">
        <v>5</v>
      </c>
      <c r="E23">
        <f t="shared" si="0"/>
        <v>828.32618166199995</v>
      </c>
      <c r="F23">
        <f t="shared" si="1"/>
        <v>0.82832618166200001</v>
      </c>
      <c r="G23" s="5">
        <f t="shared" si="2"/>
        <v>7.243523303780238</v>
      </c>
    </row>
    <row r="24" spans="1:20" x14ac:dyDescent="0.2">
      <c r="A24" t="s">
        <v>235</v>
      </c>
      <c r="B24" t="s">
        <v>232</v>
      </c>
      <c r="C24">
        <v>365.70213633899999</v>
      </c>
      <c r="D24">
        <v>5</v>
      </c>
      <c r="E24">
        <f t="shared" si="0"/>
        <v>731.40427267799998</v>
      </c>
      <c r="F24">
        <f t="shared" si="1"/>
        <v>0.73140427267800001</v>
      </c>
      <c r="G24" s="5">
        <f t="shared" si="2"/>
        <v>8.2033975246429733</v>
      </c>
    </row>
    <row r="25" spans="1:20" x14ac:dyDescent="0.2">
      <c r="A25" t="s">
        <v>236</v>
      </c>
      <c r="B25" t="s">
        <v>232</v>
      </c>
      <c r="C25">
        <v>507.99174740000001</v>
      </c>
      <c r="D25">
        <v>5</v>
      </c>
      <c r="E25">
        <f t="shared" si="0"/>
        <v>1015.9834948</v>
      </c>
      <c r="F25">
        <f t="shared" si="1"/>
        <v>1.0159834947999999</v>
      </c>
      <c r="G25" s="5">
        <f t="shared" si="2"/>
        <v>5.9056077492490386</v>
      </c>
    </row>
    <row r="28" spans="1:20" x14ac:dyDescent="0.2">
      <c r="A28" s="6" t="s">
        <v>246</v>
      </c>
      <c r="B28" s="6" t="s">
        <v>246</v>
      </c>
      <c r="C28" s="6" t="s">
        <v>246</v>
      </c>
      <c r="D28" s="6" t="s">
        <v>247</v>
      </c>
      <c r="E28" s="6" t="s">
        <v>247</v>
      </c>
      <c r="F28" s="6" t="s">
        <v>247</v>
      </c>
      <c r="G28" s="6" t="s">
        <v>247</v>
      </c>
      <c r="H28" s="6" t="s">
        <v>247</v>
      </c>
      <c r="I28" s="6" t="s">
        <v>247</v>
      </c>
      <c r="J28" s="6" t="s">
        <v>247</v>
      </c>
      <c r="K28" s="6" t="s">
        <v>247</v>
      </c>
      <c r="L28" s="6" t="s">
        <v>247</v>
      </c>
      <c r="M28" s="6" t="s">
        <v>246</v>
      </c>
      <c r="N28" s="6" t="s">
        <v>246</v>
      </c>
      <c r="O28" s="6" t="s">
        <v>246</v>
      </c>
      <c r="P28" s="6" t="s">
        <v>257</v>
      </c>
      <c r="Q28" s="6" t="s">
        <v>257</v>
      </c>
      <c r="R28" s="6" t="s">
        <v>257</v>
      </c>
      <c r="S28" s="6" t="s">
        <v>253</v>
      </c>
      <c r="T28" s="6"/>
    </row>
    <row r="29" spans="1:20" x14ac:dyDescent="0.2">
      <c r="A29" s="6" t="s">
        <v>237</v>
      </c>
      <c r="B29" s="6" t="s">
        <v>237</v>
      </c>
      <c r="C29" s="6" t="s">
        <v>237</v>
      </c>
      <c r="D29" s="6" t="s">
        <v>238</v>
      </c>
      <c r="E29" s="6" t="s">
        <v>238</v>
      </c>
      <c r="F29" s="6" t="s">
        <v>238</v>
      </c>
      <c r="G29" s="6" t="s">
        <v>231</v>
      </c>
      <c r="H29" s="6" t="s">
        <v>231</v>
      </c>
      <c r="I29" s="6" t="s">
        <v>231</v>
      </c>
      <c r="J29" s="6" t="s">
        <v>232</v>
      </c>
      <c r="K29" s="6" t="s">
        <v>232</v>
      </c>
      <c r="L29" s="6" t="s">
        <v>232</v>
      </c>
      <c r="M29" s="6" t="s">
        <v>244</v>
      </c>
      <c r="N29" s="6" t="s">
        <v>244</v>
      </c>
      <c r="O29" s="6" t="s">
        <v>244</v>
      </c>
      <c r="P29" s="6" t="s">
        <v>245</v>
      </c>
      <c r="Q29" s="6" t="s">
        <v>245</v>
      </c>
      <c r="R29" s="6" t="s">
        <v>245</v>
      </c>
      <c r="S29" s="7">
        <v>44253</v>
      </c>
      <c r="T29" s="6"/>
    </row>
    <row r="30" spans="1:20" x14ac:dyDescent="0.2">
      <c r="A30" s="6" t="s">
        <v>231</v>
      </c>
      <c r="B30" s="6" t="s">
        <v>232</v>
      </c>
      <c r="C30" s="6" t="s">
        <v>233</v>
      </c>
      <c r="D30" s="6" t="s">
        <v>231</v>
      </c>
      <c r="E30" s="6" t="s">
        <v>232</v>
      </c>
      <c r="F30" s="6" t="s">
        <v>233</v>
      </c>
      <c r="G30" s="6" t="s">
        <v>231</v>
      </c>
      <c r="H30" s="6" t="s">
        <v>232</v>
      </c>
      <c r="I30" s="6" t="s">
        <v>233</v>
      </c>
      <c r="J30" s="6" t="s">
        <v>231</v>
      </c>
      <c r="K30" s="6" t="s">
        <v>232</v>
      </c>
      <c r="L30" s="6" t="s">
        <v>233</v>
      </c>
      <c r="M30" s="6" t="s">
        <v>231</v>
      </c>
      <c r="N30" s="6" t="s">
        <v>232</v>
      </c>
      <c r="O30" s="6" t="s">
        <v>233</v>
      </c>
      <c r="P30" s="6" t="s">
        <v>231</v>
      </c>
      <c r="Q30" s="6" t="s">
        <v>232</v>
      </c>
      <c r="R30" s="6" t="s">
        <v>233</v>
      </c>
      <c r="S30" s="6" t="s">
        <v>248</v>
      </c>
      <c r="T30" s="6" t="s">
        <v>251</v>
      </c>
    </row>
    <row r="31" spans="1:20" s="5" customFormat="1" x14ac:dyDescent="0.2">
      <c r="A31" s="8">
        <v>1.6460693738295922</v>
      </c>
      <c r="B31" s="8">
        <v>3.6884497823065812</v>
      </c>
      <c r="C31" s="8">
        <v>1.0830981880460733</v>
      </c>
      <c r="D31" s="8">
        <v>2.829822128193678</v>
      </c>
      <c r="E31" s="8">
        <v>5.6641764787449169</v>
      </c>
      <c r="F31" s="8">
        <v>3.1262811242845565</v>
      </c>
      <c r="G31" s="8">
        <v>9.7654802176165312</v>
      </c>
      <c r="H31" s="8">
        <v>23.427674007338982</v>
      </c>
      <c r="I31" s="8">
        <v>6.3019307697660549</v>
      </c>
      <c r="J31" s="8">
        <v>6.8512229931930637</v>
      </c>
      <c r="K31" s="8">
        <v>16.014983153248483</v>
      </c>
      <c r="L31" s="8">
        <v>5.3467112276761712</v>
      </c>
      <c r="M31" s="8">
        <v>7.7266544448944821</v>
      </c>
      <c r="N31" s="8">
        <v>29.069268938122171</v>
      </c>
      <c r="O31" s="8">
        <v>4.2516861325866042</v>
      </c>
      <c r="P31" s="8">
        <v>10.695451934216049</v>
      </c>
      <c r="Q31" s="8">
        <v>21.660865878546044</v>
      </c>
      <c r="R31" s="8">
        <v>9.0326785024205325</v>
      </c>
      <c r="S31" s="8"/>
      <c r="T31" s="8"/>
    </row>
    <row r="32" spans="1:20" x14ac:dyDescent="0.2">
      <c r="A32" s="6" t="s">
        <v>234</v>
      </c>
      <c r="B32" s="6" t="s">
        <v>235</v>
      </c>
      <c r="C32" s="6" t="s">
        <v>236</v>
      </c>
      <c r="D32" s="6" t="s">
        <v>234</v>
      </c>
      <c r="E32" s="6" t="s">
        <v>235</v>
      </c>
      <c r="F32" s="6" t="s">
        <v>236</v>
      </c>
      <c r="G32" s="6" t="s">
        <v>234</v>
      </c>
      <c r="H32" s="6" t="s">
        <v>235</v>
      </c>
      <c r="I32" s="6" t="s">
        <v>236</v>
      </c>
      <c r="J32" s="6" t="s">
        <v>234</v>
      </c>
      <c r="K32" s="6" t="s">
        <v>235</v>
      </c>
      <c r="L32" s="6" t="s">
        <v>236</v>
      </c>
      <c r="M32" s="6" t="s">
        <v>234</v>
      </c>
      <c r="N32" s="6" t="s">
        <v>235</v>
      </c>
      <c r="O32" s="6" t="s">
        <v>236</v>
      </c>
      <c r="P32" s="6" t="s">
        <v>234</v>
      </c>
      <c r="Q32" s="6" t="s">
        <v>235</v>
      </c>
      <c r="R32" s="6" t="s">
        <v>236</v>
      </c>
      <c r="S32" s="6" t="s">
        <v>249</v>
      </c>
      <c r="T32" s="6" t="s">
        <v>250</v>
      </c>
    </row>
    <row r="33" spans="1:20" s="5" customFormat="1" x14ac:dyDescent="0.2">
      <c r="A33" s="8">
        <v>1.4149281695573932</v>
      </c>
      <c r="B33" s="8">
        <v>1.8679999500805968</v>
      </c>
      <c r="C33" s="8">
        <v>1.0465738920740635</v>
      </c>
      <c r="D33" s="8">
        <v>3.4650917398804477</v>
      </c>
      <c r="E33" s="8">
        <v>4.094064742914771</v>
      </c>
      <c r="F33" s="8">
        <v>3.0239321542992035</v>
      </c>
      <c r="G33" s="8">
        <v>11.854304093492598</v>
      </c>
      <c r="H33" s="8">
        <v>17.994313000852376</v>
      </c>
      <c r="I33" s="8">
        <v>8.8384525189815335</v>
      </c>
      <c r="J33" s="8">
        <v>7.243523303780238</v>
      </c>
      <c r="K33" s="8">
        <v>8.2033975246429733</v>
      </c>
      <c r="L33" s="8">
        <v>5.9056077492490386</v>
      </c>
      <c r="M33" s="8">
        <v>9.2671696959192857</v>
      </c>
      <c r="N33" s="8">
        <v>32.451863067275283</v>
      </c>
      <c r="O33" s="8">
        <v>5.2526711237711226</v>
      </c>
      <c r="P33" s="8">
        <v>11</v>
      </c>
      <c r="Q33" s="8">
        <v>23.341332072800135</v>
      </c>
      <c r="R33" s="8">
        <v>9.3323882622983163</v>
      </c>
      <c r="S33" s="8"/>
      <c r="T33" s="8"/>
    </row>
  </sheetData>
  <pageMargins left="0.7" right="0.7" top="0.75" bottom="0.75" header="0.3" footer="0.3"/>
  <pageSetup scale="5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02_17_21_BCA_Plate_1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cp:lastPrinted>2021-02-26T16:24:01Z</cp:lastPrinted>
  <dcterms:created xsi:type="dcterms:W3CDTF">2021-02-17T17:36:43Z</dcterms:created>
  <dcterms:modified xsi:type="dcterms:W3CDTF">2021-03-02T16:27:21Z</dcterms:modified>
</cp:coreProperties>
</file>