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6D4C0A4A-0FB9-5E42-A311-126C354A641F}" xr6:coauthVersionLast="36" xr6:coauthVersionMax="36" xr10:uidLastSave="{00000000-0000-0000-0000-000000000000}"/>
  <bookViews>
    <workbookView xWindow="10100" yWindow="2760" windowWidth="27640" windowHeight="16940" activeTab="1" xr2:uid="{00000000-000D-0000-FFFF-FFFF00000000}"/>
  </bookViews>
  <sheets>
    <sheet name="01_20_21_SA_Plate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14" i="2" l="1"/>
  <c r="F14" i="2" s="1"/>
  <c r="G14" i="2" s="1"/>
  <c r="E15" i="2"/>
  <c r="F15" i="2" s="1"/>
  <c r="G15" i="2" s="1"/>
  <c r="E16" i="2"/>
  <c r="F16" i="2" s="1"/>
  <c r="G16" i="2" s="1"/>
  <c r="E17" i="2"/>
  <c r="F17" i="2" s="1"/>
  <c r="G17" i="2" s="1"/>
  <c r="E18" i="2"/>
  <c r="F18" i="2" s="1"/>
  <c r="G18" i="2" s="1"/>
  <c r="E19" i="2"/>
  <c r="F19" i="2" s="1"/>
  <c r="G19" i="2" s="1"/>
  <c r="E20" i="2"/>
  <c r="F20" i="2"/>
  <c r="G20" i="2" s="1"/>
  <c r="E21" i="2"/>
  <c r="F21" i="2"/>
  <c r="G21" i="2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7" i="2"/>
  <c r="F27" i="2"/>
  <c r="G27" i="2"/>
  <c r="E28" i="2"/>
  <c r="F28" i="2"/>
  <c r="G28" i="2" s="1"/>
  <c r="E29" i="2"/>
  <c r="F29" i="2"/>
  <c r="G29" i="2" s="1"/>
  <c r="E30" i="2"/>
  <c r="F30" i="2" s="1"/>
  <c r="G30" i="2" s="1"/>
  <c r="E31" i="2"/>
  <c r="F31" i="2"/>
  <c r="G31" i="2" s="1"/>
  <c r="E32" i="2"/>
  <c r="F32" i="2"/>
  <c r="G32" i="2" s="1"/>
  <c r="E33" i="2"/>
  <c r="F33" i="2"/>
  <c r="G33" i="2"/>
  <c r="E34" i="2"/>
  <c r="F34" i="2" s="1"/>
  <c r="G34" i="2" s="1"/>
  <c r="E35" i="2"/>
  <c r="F35" i="2" s="1"/>
  <c r="G35" i="2" s="1"/>
  <c r="E36" i="2"/>
  <c r="F36" i="2"/>
  <c r="G36" i="2"/>
  <c r="E13" i="2"/>
  <c r="F13" i="2" s="1"/>
  <c r="G13" i="2" s="1"/>
  <c r="R51" i="1"/>
  <c r="Q51" i="1"/>
  <c r="C3" i="1"/>
  <c r="C26" i="1"/>
  <c r="C44" i="1"/>
  <c r="C62" i="1"/>
  <c r="C80" i="1"/>
  <c r="C99" i="1"/>
  <c r="E125" i="1"/>
</calcChain>
</file>

<file path=xl/sharedStrings.xml><?xml version="1.0" encoding="utf-8"?>
<sst xmlns="http://schemas.openxmlformats.org/spreadsheetml/2006/main" count="602" uniqueCount="265">
  <si>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</si>
  <si>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</si>
  <si>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</si>
  <si>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</si>
  <si>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</si>
  <si>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</si>
  <si>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</si>
  <si>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</si>
  <si>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</si>
  <si>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</si>
  <si>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Blank correction (Blanks on each plate) = X - B where X = Meas B B = Average of Blanks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</si>
  <si>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</si>
  <si>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</si>
  <si>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</si>
  <si>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</si>
  <si>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</si>
  <si>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</si>
  <si>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</si>
  <si>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</si>
  <si>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</si>
  <si>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</si>
  <si>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Blank correction (Blanks on each plate) = X - B where X = Meas B B = Average of Blanks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</si>
  <si>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</si>
  <si>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</si>
  <si>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</si>
  <si>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</si>
  <si>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</si>
  <si>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</si>
  <si>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</si>
  <si>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</si>
  <si>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</si>
  <si>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</si>
  <si>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</si>
  <si>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</si>
  <si>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</si>
  <si>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</si>
  <si>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</si>
  <si>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</si>
  <si>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</si>
  <si>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(blank corrected) = Curve fitting UNK calculation (blank corrected) where Measurement: Calc1: Blank correction (Blanks on each plate)</t>
  </si>
  <si>
    <t>No</t>
  </si>
  <si>
    <t>OK</t>
  </si>
  <si>
    <t>Calculated results: Calc 2: Curve fitting (blank corrected) = Curve fitting UNK calculation (blank corrected) where Measurement: Calc1: Blank correction (Blanks on each plate)</t>
  </si>
  <si>
    <t>Calc 3: Average of sample type = Average of samples where Measurement: Calc2: Curve fitting (blank corrected)  Sample: All samples</t>
  </si>
  <si>
    <t>Calculated results: Calc 3: Average of sample type = Average of samples where Measurement: Calc2: Curve fitting (blank corrected)  Sample: All samples</t>
  </si>
  <si>
    <t>Calc 4: %CV of sample type = 100 * SD / AVG where SD = Standard deviation of samples AVG = Average of samples Measurement: Calc2: Curve fitting (blank corrected)  Sample: All samples</t>
  </si>
  <si>
    <t>Calculated results: Calc 4: %CV of sample type = 100 * SD / AVG where SD = Standard deviation of samples AVG = Average of samples Measurement: Calc2: Curve fitting (blank corrected)  Sample: All samples</t>
  </si>
  <si>
    <t>Calc 5: %CV of sample type = 100 * SD / AVG where SD = Standard deviation of samples AVG = Average of samples Measurement: Meas B  Sample: All samples</t>
  </si>
  <si>
    <t>Calculated results: Calc 5: %CV of sample type = 100 * SD / AVG where SD = Standard deviation of samples AVG = Average of samples Measurement: Meas B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</si>
  <si>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</si>
  <si>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</si>
  <si>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</si>
  <si>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</si>
  <si>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</si>
  <si>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</si>
  <si>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</si>
  <si>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</si>
  <si>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</si>
  <si>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</si>
  <si>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</si>
  <si>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</si>
  <si>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</si>
  <si>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</si>
  <si>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</si>
  <si>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</si>
  <si>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</si>
  <si>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</si>
  <si>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</si>
  <si>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</si>
  <si>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</si>
  <si>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</si>
  <si>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</si>
  <si>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</si>
  <si>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</si>
  <si>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</si>
  <si>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</si>
  <si>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</si>
  <si>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</si>
  <si>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</si>
  <si>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</si>
  <si>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</si>
  <si>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</si>
  <si>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</si>
  <si>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</si>
  <si>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</si>
  <si>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</si>
  <si>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</si>
  <si>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</si>
  <si>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</si>
  <si>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</si>
  <si>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</si>
  <si>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</si>
  <si>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</si>
  <si>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</si>
  <si>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</si>
  <si>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</si>
  <si>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</si>
  <si>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</si>
  <si>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</si>
  <si>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</si>
  <si>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-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</si>
  <si>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</si>
  <si>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</si>
  <si>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</si>
  <si>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</si>
  <si>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</si>
  <si>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</si>
  <si>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</si>
  <si>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</si>
  <si>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</si>
  <si>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</si>
  <si>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</si>
  <si>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</si>
  <si>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</si>
  <si>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</si>
  <si>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</si>
  <si>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</si>
  <si>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</si>
  <si>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</si>
  <si>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</si>
  <si>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</si>
  <si>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</si>
  <si>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</si>
  <si>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</si>
  <si>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</si>
  <si>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</si>
  <si>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</si>
  <si>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</si>
  <si>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</si>
  <si>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</si>
  <si>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</si>
  <si>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</si>
  <si>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- - Undefined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</si>
  <si>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</si>
  <si>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</si>
  <si>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</si>
  <si>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</si>
  <si>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</si>
  <si>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Blank correction (Blanks on each plate)</t>
  </si>
  <si>
    <t xml:space="preserve"> Formula</t>
  </si>
  <si>
    <t>Blank correction (Blanks on each plate) where X = B B = Average of Blanks</t>
  </si>
  <si>
    <t>Calc 2</t>
  </si>
  <si>
    <t>Curve fitting (blank corrected)</t>
  </si>
  <si>
    <t>Curve fitting (blank corrected) where Measurement: Calc 1: Blank correction (Blanks on each plate)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</si>
  <si>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</si>
  <si>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</si>
  <si>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</si>
  <si>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</si>
  <si>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</si>
  <si>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</si>
  <si>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</si>
  <si>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</si>
  <si>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</si>
  <si>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</si>
  <si>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</si>
  <si>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</si>
  <si>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</si>
  <si>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</si>
  <si>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</si>
  <si>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</si>
  <si>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</si>
  <si>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</si>
  <si>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</si>
  <si>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</si>
  <si>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</si>
  <si>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 type</t>
  </si>
  <si>
    <t>Average of samples where Measurement: Calc 2: Curve fitting (blank corrected)  Sample: All samples</t>
  </si>
  <si>
    <t>Calc 4</t>
  </si>
  <si>
    <t>%CV of sample type</t>
  </si>
  <si>
    <t>100 * SD / AVG where SD = Standard deviation of samples AVG = Average of samples Measurement: Calc 2: Curve fitting (blank corrected)  Sample: All samples</t>
  </si>
  <si>
    <t>Calc 5</t>
  </si>
  <si>
    <t>100 * SD / AVG where SD = Standard deviation of samples AVG = Average of samples Measurement: B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</si>
  <si>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</si>
  <si>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</si>
  <si>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</si>
  <si>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</si>
  <si>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</si>
  <si>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</si>
  <si>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</si>
  <si>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</si>
  <si>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</si>
  <si>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</si>
  <si>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Z:\SameerAryal\01_20_21_SA_Plate_2.csv</t>
  </si>
  <si>
    <t>Exported data</t>
  </si>
  <si>
    <t>MeasB:Result Calc1:Blank correction (Blanks on each plate) Calc2:Curve fitting (blank corrected) Calc3:Average of sample type Calc4:%CV of sample type Calc5:%CV of sample type</t>
  </si>
  <si>
    <t>Operations:</t>
  </si>
  <si>
    <t>Plate 1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</si>
  <si>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</si>
  <si>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</si>
  <si>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</si>
  <si>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</si>
  <si>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</si>
  <si>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</si>
  <si>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</si>
  <si>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</si>
  <si>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</si>
  <si>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</si>
  <si>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</si>
  <si>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</si>
  <si>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</si>
  <si>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</si>
  <si>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</si>
  <si>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</si>
  <si>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</si>
  <si>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</si>
  <si>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</si>
  <si>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</si>
  <si>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</si>
  <si>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</si>
  <si>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</si>
  <si>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</si>
  <si>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</si>
  <si>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</si>
  <si>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</si>
  <si>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</si>
  <si>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</si>
  <si>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</si>
  <si>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</si>
  <si>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</si>
  <si>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</si>
  <si>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</si>
  <si>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</si>
  <si>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</si>
  <si>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Assay notifications:</t>
  </si>
  <si>
    <t>WARNING: A01: Curve("P3436_WA01_L1_R1_M0") 'Fitting failed: Input string was not in a correct format.   at System.Number.StringToNumber(String str  NumberStyles options  NumberBuffer&amp; number  NumberFormatInfo info  Boolean parseDecimal)</t>
  </si>
  <si>
    <t xml:space="preserve">   at System.Number.ParseDouble(String value  NumberStyles options  NumberFormatInfo numfmt)</t>
  </si>
  <si>
    <t xml:space="preserve">   at System.Double.Parse(String s  NumberStyles style  NumberFormatInfo info)</t>
  </si>
  <si>
    <t xml:space="preserve">   at PKI.ELCP.Calc.Calculator.SetCalibrators(String identifier)</t>
  </si>
  <si>
    <t xml:space="preserve">   at PKI.ELCP.Calc.Calculator.Curve(String identifier)</t>
  </si>
  <si>
    <t>INFO: Results re-calculated 1/20/2021 2:45:40 PM</t>
  </si>
  <si>
    <t>INFO: Results re-calculated 1/20/2021 2:46:44 PM</t>
  </si>
  <si>
    <t>Exported with EnSpire Workstation version 4.13.3005.1482</t>
  </si>
  <si>
    <t>I</t>
  </si>
  <si>
    <t>Blank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</si>
  <si>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</si>
  <si>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</si>
  <si>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</si>
  <si>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</si>
  <si>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</si>
  <si>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</si>
  <si>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</si>
  <si>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</si>
  <si>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</si>
  <si>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</si>
  <si>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</si>
  <si>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</si>
  <si>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</si>
  <si>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</si>
  <si>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</si>
  <si>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</si>
  <si>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</si>
  <si>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</si>
  <si>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</si>
  <si>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</si>
  <si>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</si>
  <si>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</si>
  <si>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</si>
  <si>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</si>
  <si>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10/4 fold dilution</t>
  </si>
  <si>
    <t>In ug ul</t>
  </si>
  <si>
    <t>To load 7.5 ug</t>
  </si>
  <si>
    <t>P2</t>
  </si>
  <si>
    <t>Syn</t>
  </si>
  <si>
    <t>PSD</t>
  </si>
  <si>
    <t>Too dilute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</si>
</sst>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1"/>
  <sheetViews>
    <sheetView topLeftCell="A28" workbookViewId="0">
      <selection activeCell="A49" sqref="A49:M58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44216.612754629627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308037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1.2725</v>
      </c>
      <c r="C11">
        <v>1.2435</v>
      </c>
      <c r="D11">
        <v>1.55E-2</v>
      </c>
      <c r="E11">
        <v>7.4999999999999997E-3</v>
      </c>
      <c r="F11">
        <v>0.26450000000000001</v>
      </c>
      <c r="G11">
        <v>0.26650000000000001</v>
      </c>
      <c r="H11">
        <v>8.0500000000000002E-2</v>
      </c>
      <c r="I11">
        <v>7.0499999999999993E-2</v>
      </c>
      <c r="J11">
        <v>0.16350000000000001</v>
      </c>
      <c r="K11">
        <v>0.16350000000000001</v>
      </c>
      <c r="L11">
        <v>-0.47349999999999998</v>
      </c>
      <c r="M11">
        <v>-0.47449999999999998</v>
      </c>
    </row>
    <row r="12" spans="1:13" x14ac:dyDescent="0.2">
      <c r="A12" t="s">
        <v>23</v>
      </c>
      <c r="B12">
        <v>0.95150000000000001</v>
      </c>
      <c r="C12">
        <v>0.90649999999999997</v>
      </c>
      <c r="D12">
        <v>-5.0000000000000001E-4</v>
      </c>
      <c r="E12">
        <v>5.0000000000000001E-4</v>
      </c>
      <c r="F12">
        <v>0.29549999999999998</v>
      </c>
      <c r="G12">
        <v>0.40550000000000003</v>
      </c>
      <c r="H12">
        <v>5.6500000000000002E-2</v>
      </c>
      <c r="I12">
        <v>5.9499999999999997E-2</v>
      </c>
      <c r="J12">
        <v>6.4500000000000002E-2</v>
      </c>
      <c r="K12">
        <v>6.5500000000000003E-2</v>
      </c>
      <c r="L12">
        <v>-0.47349999999999998</v>
      </c>
      <c r="M12">
        <v>-0.47449999999999998</v>
      </c>
    </row>
    <row r="13" spans="1:13" x14ac:dyDescent="0.2">
      <c r="A13" t="s">
        <v>24</v>
      </c>
      <c r="B13">
        <v>0.66049999999999998</v>
      </c>
      <c r="C13">
        <v>0.61750000000000005</v>
      </c>
      <c r="D13">
        <v>0.3695</v>
      </c>
      <c r="E13">
        <v>0.35749999999999998</v>
      </c>
      <c r="F13">
        <v>0.28749999999999998</v>
      </c>
      <c r="G13">
        <v>0.2195</v>
      </c>
      <c r="H13">
        <v>8.8499999999999995E-2</v>
      </c>
      <c r="I13">
        <v>9.1499999999999998E-2</v>
      </c>
      <c r="J13">
        <v>-0.47349999999999998</v>
      </c>
      <c r="K13">
        <v>-0.47349999999999998</v>
      </c>
      <c r="L13">
        <v>-0.47349999999999998</v>
      </c>
      <c r="M13">
        <v>-0.47149999999999997</v>
      </c>
    </row>
    <row r="14" spans="1:13" x14ac:dyDescent="0.2">
      <c r="A14" t="s">
        <v>25</v>
      </c>
      <c r="B14">
        <v>0.50449999999999995</v>
      </c>
      <c r="C14">
        <v>0.45350000000000001</v>
      </c>
      <c r="D14">
        <v>0.3725</v>
      </c>
      <c r="E14">
        <v>0.38350000000000001</v>
      </c>
      <c r="F14">
        <v>0.28849999999999998</v>
      </c>
      <c r="G14">
        <v>0.27450000000000002</v>
      </c>
      <c r="H14">
        <v>3.15E-2</v>
      </c>
      <c r="I14">
        <v>3.4500000000000003E-2</v>
      </c>
      <c r="J14">
        <v>-0.47349999999999998</v>
      </c>
      <c r="K14">
        <v>-0.47349999999999998</v>
      </c>
      <c r="L14">
        <v>-0.47049999999999997</v>
      </c>
      <c r="M14">
        <v>-0.47449999999999998</v>
      </c>
    </row>
    <row r="15" spans="1:13" x14ac:dyDescent="0.2">
      <c r="A15" t="s">
        <v>26</v>
      </c>
      <c r="B15">
        <v>0.35149999999999998</v>
      </c>
      <c r="C15">
        <v>0.32750000000000001</v>
      </c>
      <c r="D15">
        <v>0.3765</v>
      </c>
      <c r="E15">
        <v>0.3795</v>
      </c>
      <c r="F15">
        <v>0.2145</v>
      </c>
      <c r="G15">
        <v>0.28449999999999998</v>
      </c>
      <c r="H15">
        <v>0.13750000000000001</v>
      </c>
      <c r="I15">
        <v>0.15049999999999999</v>
      </c>
      <c r="J15">
        <v>-0.47249999999999998</v>
      </c>
      <c r="K15">
        <v>-0.47349999999999998</v>
      </c>
      <c r="L15">
        <v>-0.47349999999999998</v>
      </c>
      <c r="M15">
        <v>-0.47349999999999998</v>
      </c>
    </row>
    <row r="16" spans="1:13" x14ac:dyDescent="0.2">
      <c r="A16" t="s">
        <v>27</v>
      </c>
      <c r="B16">
        <v>0.16850000000000001</v>
      </c>
      <c r="C16">
        <v>0.14749999999999999</v>
      </c>
      <c r="D16">
        <v>0.16650000000000001</v>
      </c>
      <c r="E16">
        <v>0.16550000000000001</v>
      </c>
      <c r="F16">
        <v>0.1145</v>
      </c>
      <c r="G16">
        <v>0.1295</v>
      </c>
      <c r="H16">
        <v>0.19550000000000001</v>
      </c>
      <c r="I16">
        <v>0.1845</v>
      </c>
      <c r="J16">
        <v>-0.47249999999999998</v>
      </c>
      <c r="K16">
        <v>-0.47349999999999998</v>
      </c>
      <c r="L16">
        <v>-0.47349999999999998</v>
      </c>
      <c r="M16">
        <v>-0.47349999999999998</v>
      </c>
    </row>
    <row r="17" spans="1:13" x14ac:dyDescent="0.2">
      <c r="A17" t="s">
        <v>28</v>
      </c>
      <c r="B17">
        <v>9.6500000000000002E-2</v>
      </c>
      <c r="C17">
        <v>7.85E-2</v>
      </c>
      <c r="D17">
        <v>0.27250000000000002</v>
      </c>
      <c r="E17">
        <v>0.28649999999999998</v>
      </c>
      <c r="F17">
        <v>4.8500000000000001E-2</v>
      </c>
      <c r="G17">
        <v>5.45E-2</v>
      </c>
      <c r="H17">
        <v>0.1535</v>
      </c>
      <c r="I17">
        <v>0.1615</v>
      </c>
      <c r="J17">
        <v>-0.47349999999999998</v>
      </c>
      <c r="K17">
        <v>-0.47349999999999998</v>
      </c>
      <c r="L17">
        <v>-0.47449999999999998</v>
      </c>
      <c r="M17">
        <v>-0.47349999999999998</v>
      </c>
    </row>
    <row r="18" spans="1:13" x14ac:dyDescent="0.2">
      <c r="A18" t="s">
        <v>29</v>
      </c>
      <c r="B18">
        <v>3.7499999999999999E-2</v>
      </c>
      <c r="C18">
        <v>1.7500000000000002E-2</v>
      </c>
      <c r="D18">
        <v>0.30049999999999999</v>
      </c>
      <c r="E18">
        <v>0.29349999999999998</v>
      </c>
      <c r="F18">
        <v>6.5500000000000003E-2</v>
      </c>
      <c r="G18">
        <v>6.6500000000000004E-2</v>
      </c>
      <c r="H18">
        <v>0.14249999999999999</v>
      </c>
      <c r="I18">
        <v>0.14849999999999999</v>
      </c>
      <c r="J18">
        <v>-0.47449999999999998</v>
      </c>
      <c r="K18">
        <v>-0.47349999999999998</v>
      </c>
      <c r="L18">
        <v>-0.47549999999999998</v>
      </c>
      <c r="M18">
        <v>-0.47449999999999998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6.2045277000000003E-4</v>
      </c>
      <c r="C22">
        <v>1.257949857E-2</v>
      </c>
      <c r="D22">
        <v>385.23561244899997</v>
      </c>
      <c r="E22">
        <v>993.50109289800002</v>
      </c>
      <c r="F22">
        <v>1601.76657335</v>
      </c>
      <c r="G22">
        <v>0.99978850107999995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44216.612754629627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1" spans="1:13" x14ac:dyDescent="0.2">
      <c r="A31" t="s">
        <v>42</v>
      </c>
    </row>
    <row r="32" spans="1:13" x14ac:dyDescent="0.2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3" x14ac:dyDescent="0.2">
      <c r="A33" t="s">
        <v>22</v>
      </c>
      <c r="B33">
        <v>2030.64692403</v>
      </c>
      <c r="C33">
        <v>1983.9068632599999</v>
      </c>
      <c r="D33">
        <v>4.7070487660999998</v>
      </c>
      <c r="E33">
        <v>-8.1867611003</v>
      </c>
      <c r="F33">
        <v>406.02688085900002</v>
      </c>
      <c r="G33">
        <v>409.25033332499999</v>
      </c>
      <c r="H33">
        <v>109.469253931</v>
      </c>
      <c r="I33">
        <v>93.351991597799994</v>
      </c>
      <c r="J33">
        <v>243.24253129499999</v>
      </c>
      <c r="K33">
        <v>243.24253129499999</v>
      </c>
      <c r="L33">
        <v>-783.42707931999996</v>
      </c>
      <c r="M33">
        <v>-785.03880555000001</v>
      </c>
    </row>
    <row r="34" spans="1:13" x14ac:dyDescent="0.2">
      <c r="A34" t="s">
        <v>23</v>
      </c>
      <c r="B34">
        <v>1513.2828031399999</v>
      </c>
      <c r="C34">
        <v>1440.7551226400001</v>
      </c>
      <c r="D34">
        <v>-21.080570967</v>
      </c>
      <c r="E34">
        <v>-19.468844733000001</v>
      </c>
      <c r="F34">
        <v>455.99039409099998</v>
      </c>
      <c r="G34">
        <v>633.28027975500004</v>
      </c>
      <c r="H34">
        <v>70.787824331600007</v>
      </c>
      <c r="I34">
        <v>75.623003031500005</v>
      </c>
      <c r="J34">
        <v>83.681634197999998</v>
      </c>
      <c r="K34">
        <v>85.293360431300002</v>
      </c>
      <c r="L34">
        <v>-783.42707931999996</v>
      </c>
      <c r="M34">
        <v>-785.03880555000001</v>
      </c>
    </row>
    <row r="35" spans="1:13" x14ac:dyDescent="0.2">
      <c r="A35" t="s">
        <v>24</v>
      </c>
      <c r="B35">
        <v>1044.2704692499999</v>
      </c>
      <c r="C35">
        <v>974.96624121499997</v>
      </c>
      <c r="D35">
        <v>575.25813535600003</v>
      </c>
      <c r="E35">
        <v>555.91742055600002</v>
      </c>
      <c r="F35">
        <v>443.09658422500002</v>
      </c>
      <c r="G35">
        <v>333.49920035999997</v>
      </c>
      <c r="H35">
        <v>122.363063797</v>
      </c>
      <c r="I35">
        <v>127.198242497</v>
      </c>
      <c r="J35">
        <v>-783.42707931999996</v>
      </c>
      <c r="K35">
        <v>-783.42707931999996</v>
      </c>
      <c r="L35">
        <v>-783.42707931999996</v>
      </c>
      <c r="M35">
        <v>-780.20362684999998</v>
      </c>
    </row>
    <row r="36" spans="1:13" x14ac:dyDescent="0.2">
      <c r="A36" t="s">
        <v>25</v>
      </c>
      <c r="B36">
        <v>792.84117685199999</v>
      </c>
      <c r="C36">
        <v>710.64313895299995</v>
      </c>
      <c r="D36">
        <v>580.09331405600005</v>
      </c>
      <c r="E36">
        <v>597.82230262200005</v>
      </c>
      <c r="F36">
        <v>444.70831045800003</v>
      </c>
      <c r="G36">
        <v>422.144143192</v>
      </c>
      <c r="H36">
        <v>30.494668498999999</v>
      </c>
      <c r="I36">
        <v>35.329847198899998</v>
      </c>
      <c r="J36">
        <v>-783.42707931999996</v>
      </c>
      <c r="K36">
        <v>-783.42707931999996</v>
      </c>
      <c r="L36">
        <v>-778.59190062000005</v>
      </c>
      <c r="M36">
        <v>-785.03880555000001</v>
      </c>
    </row>
    <row r="37" spans="1:13" x14ac:dyDescent="0.2">
      <c r="A37" t="s">
        <v>26</v>
      </c>
      <c r="B37">
        <v>546.24706315599997</v>
      </c>
      <c r="C37">
        <v>507.56563355700001</v>
      </c>
      <c r="D37">
        <v>586.54021898899998</v>
      </c>
      <c r="E37">
        <v>591.37539768900001</v>
      </c>
      <c r="F37">
        <v>325.44056919399998</v>
      </c>
      <c r="G37">
        <v>438.26140552499999</v>
      </c>
      <c r="H37">
        <v>201.33764922899999</v>
      </c>
      <c r="I37">
        <v>222.29009026200001</v>
      </c>
      <c r="J37">
        <v>-781.81535309000003</v>
      </c>
      <c r="K37">
        <v>-783.42707931999996</v>
      </c>
      <c r="L37">
        <v>-783.42707931999996</v>
      </c>
      <c r="M37">
        <v>-783.42707931999996</v>
      </c>
    </row>
    <row r="38" spans="1:13" x14ac:dyDescent="0.2">
      <c r="A38" t="s">
        <v>27</v>
      </c>
      <c r="B38">
        <v>251.30116246200001</v>
      </c>
      <c r="C38">
        <v>217.45491156200001</v>
      </c>
      <c r="D38">
        <v>248.07770999499999</v>
      </c>
      <c r="E38">
        <v>246.46598376200001</v>
      </c>
      <c r="F38">
        <v>164.26794586299999</v>
      </c>
      <c r="G38">
        <v>188.443839363</v>
      </c>
      <c r="H38">
        <v>294.81777076100002</v>
      </c>
      <c r="I38">
        <v>277.08878219399998</v>
      </c>
      <c r="J38">
        <v>-781.81535309000003</v>
      </c>
      <c r="K38">
        <v>-783.42707931999996</v>
      </c>
      <c r="L38">
        <v>-783.42707931999996</v>
      </c>
      <c r="M38">
        <v>-783.42707931999996</v>
      </c>
    </row>
    <row r="39" spans="1:13" x14ac:dyDescent="0.2">
      <c r="A39" t="s">
        <v>28</v>
      </c>
      <c r="B39">
        <v>135.25687366400001</v>
      </c>
      <c r="C39">
        <v>106.245801464</v>
      </c>
      <c r="D39">
        <v>418.92069072499999</v>
      </c>
      <c r="E39">
        <v>441.48485799100001</v>
      </c>
      <c r="F39">
        <v>57.8940144651</v>
      </c>
      <c r="G39">
        <v>67.564371864999998</v>
      </c>
      <c r="H39">
        <v>227.12526896200001</v>
      </c>
      <c r="I39">
        <v>240.019078828</v>
      </c>
      <c r="J39">
        <v>-783.42707931999996</v>
      </c>
      <c r="K39">
        <v>-783.42707931999996</v>
      </c>
      <c r="L39">
        <v>-785.03880555000001</v>
      </c>
      <c r="M39">
        <v>-783.42707931999996</v>
      </c>
    </row>
    <row r="40" spans="1:13" x14ac:dyDescent="0.2">
      <c r="A40" t="s">
        <v>29</v>
      </c>
      <c r="B40">
        <v>40.165025898800003</v>
      </c>
      <c r="C40">
        <v>7.9305012327100002</v>
      </c>
      <c r="D40">
        <v>464.04902525799997</v>
      </c>
      <c r="E40">
        <v>452.76694162500002</v>
      </c>
      <c r="F40">
        <v>85.293360431300002</v>
      </c>
      <c r="G40">
        <v>86.905086664600006</v>
      </c>
      <c r="H40">
        <v>209.39628039600001</v>
      </c>
      <c r="I40">
        <v>219.06663779600001</v>
      </c>
      <c r="J40">
        <v>-785.03880555000001</v>
      </c>
      <c r="K40">
        <v>-783.42707931999996</v>
      </c>
      <c r="L40">
        <v>-786.65053178999995</v>
      </c>
      <c r="M40">
        <v>-785.03880555000001</v>
      </c>
    </row>
    <row r="42" spans="1:13" x14ac:dyDescent="0.2">
      <c r="A42" t="s">
        <v>0</v>
      </c>
    </row>
    <row r="43" spans="1:13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</row>
    <row r="44" spans="1:13" x14ac:dyDescent="0.2">
      <c r="A44">
        <v>1</v>
      </c>
      <c r="B44">
        <v>1</v>
      </c>
      <c r="C44" t="str">
        <f>""</f>
        <v/>
      </c>
      <c r="D44" t="s">
        <v>43</v>
      </c>
      <c r="E44" t="s">
        <v>11</v>
      </c>
      <c r="F44" t="s">
        <v>11</v>
      </c>
      <c r="G44" t="s">
        <v>11</v>
      </c>
      <c r="H44" t="s">
        <v>11</v>
      </c>
      <c r="I44" s="1">
        <v>44216.612754629627</v>
      </c>
    </row>
    <row r="46" spans="1:13" x14ac:dyDescent="0.2">
      <c r="A46" t="s">
        <v>12</v>
      </c>
    </row>
    <row r="47" spans="1:13" x14ac:dyDescent="0.2">
      <c r="A47" t="s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</row>
    <row r="49" spans="1:18" x14ac:dyDescent="0.2">
      <c r="A49" t="s">
        <v>44</v>
      </c>
    </row>
    <row r="50" spans="1:18" x14ac:dyDescent="0.2"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</row>
    <row r="51" spans="1:18" x14ac:dyDescent="0.2">
      <c r="A51" t="s">
        <v>22</v>
      </c>
      <c r="B51">
        <v>2007.2768936499999</v>
      </c>
      <c r="C51">
        <v>2007.2768936499999</v>
      </c>
      <c r="D51">
        <v>-1.7398561670999999</v>
      </c>
      <c r="E51">
        <v>-1.7398561670999999</v>
      </c>
      <c r="F51">
        <v>407.63860709199997</v>
      </c>
      <c r="G51">
        <v>407.63860709199997</v>
      </c>
      <c r="H51">
        <v>101.410622764</v>
      </c>
      <c r="I51">
        <v>101.410622764</v>
      </c>
      <c r="J51">
        <v>243.24253129499999</v>
      </c>
      <c r="K51">
        <v>243.24253129499999</v>
      </c>
      <c r="L51">
        <v>-783.48464096999999</v>
      </c>
      <c r="M51">
        <v>-783.48464096999999</v>
      </c>
      <c r="P51">
        <v>250</v>
      </c>
      <c r="Q51">
        <f>P51*(10/4)</f>
        <v>625</v>
      </c>
      <c r="R51">
        <f>Q51/1000</f>
        <v>0.625</v>
      </c>
    </row>
    <row r="52" spans="1:18" x14ac:dyDescent="0.2">
      <c r="A52" t="s">
        <v>23</v>
      </c>
      <c r="B52">
        <v>1477.01896289</v>
      </c>
      <c r="C52">
        <v>1477.01896289</v>
      </c>
      <c r="D52">
        <v>-20.274707849999999</v>
      </c>
      <c r="E52">
        <v>-20.274707849999999</v>
      </c>
      <c r="F52">
        <v>544.63533692299995</v>
      </c>
      <c r="G52">
        <v>544.63533692299995</v>
      </c>
      <c r="H52">
        <v>73.205413681500005</v>
      </c>
      <c r="I52">
        <v>73.205413681500005</v>
      </c>
      <c r="J52">
        <v>84.487497314600006</v>
      </c>
      <c r="K52">
        <v>84.487497314600006</v>
      </c>
      <c r="L52">
        <v>-783.48464096999999</v>
      </c>
      <c r="M52">
        <v>-783.48464096999999</v>
      </c>
    </row>
    <row r="53" spans="1:18" x14ac:dyDescent="0.2">
      <c r="A53" t="s">
        <v>24</v>
      </c>
      <c r="B53">
        <v>1009.61835523</v>
      </c>
      <c r="C53">
        <v>1009.61835523</v>
      </c>
      <c r="D53">
        <v>565.58777795599997</v>
      </c>
      <c r="E53">
        <v>565.58777795599997</v>
      </c>
      <c r="F53">
        <v>388.29789229199997</v>
      </c>
      <c r="G53">
        <v>388.29789229199997</v>
      </c>
      <c r="H53">
        <v>124.780653147</v>
      </c>
      <c r="I53">
        <v>124.780653147</v>
      </c>
      <c r="J53">
        <v>-783.48464096999999</v>
      </c>
      <c r="K53">
        <v>-783.48464096999999</v>
      </c>
      <c r="L53">
        <v>-783.48464096999999</v>
      </c>
      <c r="M53">
        <v>-783.48464096999999</v>
      </c>
    </row>
    <row r="54" spans="1:18" x14ac:dyDescent="0.2">
      <c r="A54" t="s">
        <v>25</v>
      </c>
      <c r="B54">
        <v>751.74215790200003</v>
      </c>
      <c r="C54">
        <v>751.74215790200003</v>
      </c>
      <c r="D54">
        <v>588.95780833900005</v>
      </c>
      <c r="E54">
        <v>588.95780833900005</v>
      </c>
      <c r="F54">
        <v>433.42622682500001</v>
      </c>
      <c r="G54">
        <v>433.42622682500001</v>
      </c>
      <c r="H54">
        <v>32.912257848899998</v>
      </c>
      <c r="I54">
        <v>32.912257848899998</v>
      </c>
      <c r="J54">
        <v>-783.48464096999999</v>
      </c>
      <c r="K54">
        <v>-783.48464096999999</v>
      </c>
      <c r="L54">
        <v>-783.48464096999999</v>
      </c>
      <c r="M54">
        <v>-783.48464096999999</v>
      </c>
    </row>
    <row r="55" spans="1:18" x14ac:dyDescent="0.2">
      <c r="A55" t="s">
        <v>26</v>
      </c>
      <c r="B55">
        <v>526.90634835699996</v>
      </c>
      <c r="C55">
        <v>526.90634835699996</v>
      </c>
      <c r="D55">
        <v>588.95780833900005</v>
      </c>
      <c r="E55">
        <v>588.95780833900005</v>
      </c>
      <c r="F55">
        <v>381.85098735899999</v>
      </c>
      <c r="G55">
        <v>381.85098735899999</v>
      </c>
      <c r="H55">
        <v>211.81386974599999</v>
      </c>
      <c r="I55">
        <v>211.81386974599999</v>
      </c>
      <c r="J55">
        <v>-783.48464096999999</v>
      </c>
      <c r="K55">
        <v>-783.48464096999999</v>
      </c>
      <c r="L55">
        <v>-783.48464096999999</v>
      </c>
      <c r="M55">
        <v>-783.48464096999999</v>
      </c>
    </row>
    <row r="56" spans="1:18" x14ac:dyDescent="0.2">
      <c r="A56" t="s">
        <v>27</v>
      </c>
      <c r="B56">
        <v>234.37803701199999</v>
      </c>
      <c r="C56">
        <v>234.37803701199999</v>
      </c>
      <c r="D56">
        <v>247.27184687799999</v>
      </c>
      <c r="E56">
        <v>247.27184687799999</v>
      </c>
      <c r="F56">
        <v>176.35589261300001</v>
      </c>
      <c r="G56">
        <v>176.35589261300001</v>
      </c>
      <c r="H56">
        <v>285.95327647800002</v>
      </c>
      <c r="I56">
        <v>285.95327647800002</v>
      </c>
      <c r="J56">
        <v>-783.48464096999999</v>
      </c>
      <c r="K56">
        <v>-783.48464096999999</v>
      </c>
      <c r="L56">
        <v>-783.48464096999999</v>
      </c>
      <c r="M56">
        <v>-783.48464096999999</v>
      </c>
    </row>
    <row r="57" spans="1:18" x14ac:dyDescent="0.2">
      <c r="A57" t="s">
        <v>28</v>
      </c>
      <c r="B57">
        <v>120.751337564</v>
      </c>
      <c r="C57">
        <v>120.751337564</v>
      </c>
      <c r="D57">
        <v>430.202774358</v>
      </c>
      <c r="E57">
        <v>430.202774358</v>
      </c>
      <c r="F57">
        <v>62.729193164999998</v>
      </c>
      <c r="G57">
        <v>62.729193164999998</v>
      </c>
      <c r="H57">
        <v>233.57217389499999</v>
      </c>
      <c r="I57">
        <v>233.57217389499999</v>
      </c>
      <c r="J57">
        <v>-783.48464096999999</v>
      </c>
      <c r="K57">
        <v>-783.48464096999999</v>
      </c>
      <c r="L57">
        <v>-783.48464096999999</v>
      </c>
      <c r="M57">
        <v>-783.48464096999999</v>
      </c>
    </row>
    <row r="58" spans="1:18" x14ac:dyDescent="0.2">
      <c r="A58" t="s">
        <v>29</v>
      </c>
      <c r="B58">
        <v>24.047763565699999</v>
      </c>
      <c r="C58">
        <v>24.047763565699999</v>
      </c>
      <c r="D58">
        <v>458.407983441</v>
      </c>
      <c r="E58">
        <v>458.407983441</v>
      </c>
      <c r="F58">
        <v>86.099223547899996</v>
      </c>
      <c r="G58">
        <v>86.099223547899996</v>
      </c>
      <c r="H58">
        <v>214.23145909600001</v>
      </c>
      <c r="I58">
        <v>214.23145909600001</v>
      </c>
      <c r="J58">
        <v>-783.48464096999999</v>
      </c>
      <c r="K58">
        <v>-783.48464096999999</v>
      </c>
      <c r="L58">
        <v>-783.48464096999999</v>
      </c>
      <c r="M58">
        <v>-783.48464096999999</v>
      </c>
    </row>
    <row r="60" spans="1:18" x14ac:dyDescent="0.2">
      <c r="A60" t="s">
        <v>0</v>
      </c>
    </row>
    <row r="61" spans="1:18" x14ac:dyDescent="0.2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</row>
    <row r="62" spans="1:18" x14ac:dyDescent="0.2">
      <c r="A62">
        <v>1</v>
      </c>
      <c r="B62">
        <v>1</v>
      </c>
      <c r="C62" t="str">
        <f>""</f>
        <v/>
      </c>
      <c r="D62" t="s">
        <v>45</v>
      </c>
      <c r="E62" t="s">
        <v>11</v>
      </c>
      <c r="F62" t="s">
        <v>11</v>
      </c>
      <c r="G62" t="s">
        <v>11</v>
      </c>
      <c r="H62" t="s">
        <v>11</v>
      </c>
      <c r="I62" s="1">
        <v>44216.612754629627</v>
      </c>
    </row>
    <row r="64" spans="1:18" x14ac:dyDescent="0.2">
      <c r="A64" t="s">
        <v>12</v>
      </c>
    </row>
    <row r="65" spans="1:13" x14ac:dyDescent="0.2">
      <c r="A65" t="s">
        <v>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7" spans="1:13" x14ac:dyDescent="0.2">
      <c r="A67" t="s">
        <v>46</v>
      </c>
    </row>
    <row r="68" spans="1:13" x14ac:dyDescent="0.2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3" x14ac:dyDescent="0.2">
      <c r="A69" t="s">
        <v>22</v>
      </c>
      <c r="B69">
        <v>1.6465199208500001</v>
      </c>
      <c r="C69">
        <v>1.6465199208500001</v>
      </c>
      <c r="D69">
        <v>-524.02609848999998</v>
      </c>
      <c r="E69">
        <v>-524.02609848999998</v>
      </c>
      <c r="F69">
        <v>0.55915339183000001</v>
      </c>
      <c r="G69">
        <v>0.55915339183000001</v>
      </c>
      <c r="H69">
        <v>11.2380983167</v>
      </c>
      <c r="I69">
        <v>11.2380983167</v>
      </c>
      <c r="J69">
        <v>0</v>
      </c>
      <c r="K69">
        <v>0</v>
      </c>
      <c r="L69">
        <v>-0.19780555220000001</v>
      </c>
      <c r="M69">
        <v>-0.19780555220000001</v>
      </c>
    </row>
    <row r="70" spans="1:13" x14ac:dyDescent="0.2">
      <c r="A70" t="s">
        <v>23</v>
      </c>
      <c r="B70">
        <v>3.4721839050800001</v>
      </c>
      <c r="C70">
        <v>3.4721839050800001</v>
      </c>
      <c r="D70">
        <v>-5.6211046659999999</v>
      </c>
      <c r="E70">
        <v>-5.6211046659999999</v>
      </c>
      <c r="F70">
        <v>23.0177647115</v>
      </c>
      <c r="G70">
        <v>23.0177647115</v>
      </c>
      <c r="H70">
        <v>4.6704027407500002</v>
      </c>
      <c r="I70">
        <v>4.6704027407500002</v>
      </c>
      <c r="J70">
        <v>1.34891266188</v>
      </c>
      <c r="K70">
        <v>1.34891266188</v>
      </c>
      <c r="L70">
        <v>-0.19780555220000001</v>
      </c>
      <c r="M70">
        <v>-0.19780555220000001</v>
      </c>
    </row>
    <row r="71" spans="1:13" x14ac:dyDescent="0.2">
      <c r="A71" t="s">
        <v>24</v>
      </c>
      <c r="B71">
        <v>4.8538627841400004</v>
      </c>
      <c r="C71">
        <v>4.8538627841400004</v>
      </c>
      <c r="D71">
        <v>2.41800673933</v>
      </c>
      <c r="E71">
        <v>2.41800673933</v>
      </c>
      <c r="F71">
        <v>19.958144215899999</v>
      </c>
      <c r="G71">
        <v>19.958144215899999</v>
      </c>
      <c r="H71">
        <v>2.7399981974099998</v>
      </c>
      <c r="I71">
        <v>2.7399981974099998</v>
      </c>
      <c r="J71">
        <v>-0.19780555220000001</v>
      </c>
      <c r="K71">
        <v>-0.19780555220000001</v>
      </c>
      <c r="L71">
        <v>-0.19780555220000001</v>
      </c>
      <c r="M71">
        <v>-0.19780555220000001</v>
      </c>
    </row>
    <row r="72" spans="1:13" x14ac:dyDescent="0.2">
      <c r="A72" t="s">
        <v>25</v>
      </c>
      <c r="B72">
        <v>7.7317454378799999</v>
      </c>
      <c r="C72">
        <v>7.7317454378799999</v>
      </c>
      <c r="D72">
        <v>2.1285545180600001</v>
      </c>
      <c r="E72">
        <v>2.1285545180600001</v>
      </c>
      <c r="F72">
        <v>3.6811975598900002</v>
      </c>
      <c r="G72">
        <v>3.6811975598900002</v>
      </c>
      <c r="H72">
        <v>10.3881892961</v>
      </c>
      <c r="I72">
        <v>10.3881892961</v>
      </c>
      <c r="J72">
        <v>-0.19780555220000001</v>
      </c>
      <c r="K72">
        <v>-0.19780555220000001</v>
      </c>
      <c r="L72">
        <v>-0.19780555220000001</v>
      </c>
      <c r="M72">
        <v>-0.19780555220000001</v>
      </c>
    </row>
    <row r="73" spans="1:13" x14ac:dyDescent="0.2">
      <c r="A73" t="s">
        <v>26</v>
      </c>
      <c r="B73">
        <v>5.1910365591499996</v>
      </c>
      <c r="C73">
        <v>5.1910365591499996</v>
      </c>
      <c r="D73">
        <v>0.58051486856000001</v>
      </c>
      <c r="E73">
        <v>0.58051486856000001</v>
      </c>
      <c r="F73">
        <v>20.892018370999999</v>
      </c>
      <c r="G73">
        <v>20.892018370999999</v>
      </c>
      <c r="H73">
        <v>6.9946378651199996</v>
      </c>
      <c r="I73">
        <v>6.9946378651199996</v>
      </c>
      <c r="J73">
        <v>-0.19780555220000001</v>
      </c>
      <c r="K73">
        <v>-0.19780555220000001</v>
      </c>
      <c r="L73">
        <v>-0.19780555220000001</v>
      </c>
      <c r="M73">
        <v>-0.19780555220000001</v>
      </c>
    </row>
    <row r="74" spans="1:13" x14ac:dyDescent="0.2">
      <c r="A74" t="s">
        <v>27</v>
      </c>
      <c r="B74">
        <v>10.2112441225</v>
      </c>
      <c r="C74">
        <v>10.2112441225</v>
      </c>
      <c r="D74">
        <v>0.46089458358000002</v>
      </c>
      <c r="E74">
        <v>0.46089458358000002</v>
      </c>
      <c r="F74">
        <v>9.6934318334899991</v>
      </c>
      <c r="G74">
        <v>9.6934318334899991</v>
      </c>
      <c r="H74">
        <v>4.3840337111199998</v>
      </c>
      <c r="I74">
        <v>4.3840337111199998</v>
      </c>
      <c r="J74">
        <v>-0.19780555220000001</v>
      </c>
      <c r="K74">
        <v>-0.19780555220000001</v>
      </c>
      <c r="L74">
        <v>-0.19780555220000001</v>
      </c>
      <c r="M74">
        <v>-0.19780555220000001</v>
      </c>
    </row>
    <row r="75" spans="1:13" x14ac:dyDescent="0.2">
      <c r="A75" t="s">
        <v>28</v>
      </c>
      <c r="B75">
        <v>16.988570309499998</v>
      </c>
      <c r="C75">
        <v>16.988570309499998</v>
      </c>
      <c r="D75">
        <v>3.7087802861300001</v>
      </c>
      <c r="E75">
        <v>3.7087802861300001</v>
      </c>
      <c r="F75">
        <v>10.9007862988</v>
      </c>
      <c r="G75">
        <v>10.9007862988</v>
      </c>
      <c r="H75">
        <v>3.9034189046700001</v>
      </c>
      <c r="I75">
        <v>3.9034189046700001</v>
      </c>
      <c r="J75">
        <v>-0.19780555220000001</v>
      </c>
      <c r="K75">
        <v>-0.19780555220000001</v>
      </c>
      <c r="L75">
        <v>-0.19780555220000001</v>
      </c>
      <c r="M75">
        <v>-0.19780555220000001</v>
      </c>
    </row>
    <row r="76" spans="1:13" x14ac:dyDescent="0.2">
      <c r="A76" t="s">
        <v>29</v>
      </c>
      <c r="B76">
        <v>94.7832463397</v>
      </c>
      <c r="C76">
        <v>94.7832463397</v>
      </c>
      <c r="D76">
        <v>1.7402920828299999</v>
      </c>
      <c r="E76">
        <v>1.7402920828299999</v>
      </c>
      <c r="F76">
        <v>1.3236618194900001</v>
      </c>
      <c r="G76">
        <v>1.3236618194900001</v>
      </c>
      <c r="H76">
        <v>3.19186328786</v>
      </c>
      <c r="I76">
        <v>3.19186328786</v>
      </c>
      <c r="J76">
        <v>-0.19780555220000001</v>
      </c>
      <c r="K76">
        <v>-0.19780555220000001</v>
      </c>
      <c r="L76">
        <v>-0.19780555220000001</v>
      </c>
      <c r="M76">
        <v>-0.19780555220000001</v>
      </c>
    </row>
    <row r="78" spans="1:13" x14ac:dyDescent="0.2">
      <c r="A78" t="s">
        <v>0</v>
      </c>
    </row>
    <row r="79" spans="1:13" x14ac:dyDescent="0.2">
      <c r="A79" t="s">
        <v>1</v>
      </c>
      <c r="B79" t="s">
        <v>2</v>
      </c>
      <c r="C79" t="s">
        <v>3</v>
      </c>
      <c r="D79" t="s">
        <v>4</v>
      </c>
      <c r="E79" t="s">
        <v>5</v>
      </c>
      <c r="F79" t="s">
        <v>6</v>
      </c>
      <c r="G79" t="s">
        <v>7</v>
      </c>
      <c r="H79" t="s">
        <v>8</v>
      </c>
      <c r="I79" t="s">
        <v>9</v>
      </c>
    </row>
    <row r="80" spans="1:13" x14ac:dyDescent="0.2">
      <c r="A80">
        <v>1</v>
      </c>
      <c r="B80">
        <v>1</v>
      </c>
      <c r="C80" t="str">
        <f>""</f>
        <v/>
      </c>
      <c r="D80" t="s">
        <v>47</v>
      </c>
      <c r="E80" t="s">
        <v>11</v>
      </c>
      <c r="F80" t="s">
        <v>11</v>
      </c>
      <c r="G80" t="s">
        <v>11</v>
      </c>
      <c r="H80" t="s">
        <v>11</v>
      </c>
      <c r="I80" s="1">
        <v>44216.612754629627</v>
      </c>
    </row>
    <row r="82" spans="1:13" x14ac:dyDescent="0.2">
      <c r="A82" t="s">
        <v>12</v>
      </c>
    </row>
    <row r="83" spans="1:13" x14ac:dyDescent="0.2">
      <c r="A83" t="s">
        <v>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13" x14ac:dyDescent="0.2">
      <c r="A84">
        <v>1</v>
      </c>
      <c r="B84" t="s">
        <v>19</v>
      </c>
      <c r="C84">
        <v>0</v>
      </c>
      <c r="D84">
        <v>308037</v>
      </c>
      <c r="E84">
        <v>9</v>
      </c>
      <c r="F84" s="2">
        <v>0</v>
      </c>
      <c r="G84" t="s">
        <v>20</v>
      </c>
    </row>
    <row r="86" spans="1:13" x14ac:dyDescent="0.2">
      <c r="A86" t="s">
        <v>48</v>
      </c>
    </row>
    <row r="87" spans="1:13" x14ac:dyDescent="0.2"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 spans="1:13" x14ac:dyDescent="0.2">
      <c r="A88" t="s">
        <v>22</v>
      </c>
      <c r="B88">
        <v>1.15625016377</v>
      </c>
      <c r="C88">
        <v>1.15625016377</v>
      </c>
      <c r="D88">
        <v>1.0734068784599999</v>
      </c>
      <c r="E88">
        <v>1.0734068784599999</v>
      </c>
      <c r="F88">
        <v>0.18107728071000001</v>
      </c>
      <c r="G88">
        <v>0.18107728071000001</v>
      </c>
      <c r="H88">
        <v>1.1964581746</v>
      </c>
      <c r="I88">
        <v>1.1964581746</v>
      </c>
      <c r="J88">
        <v>0</v>
      </c>
      <c r="K88">
        <v>0</v>
      </c>
      <c r="L88">
        <v>2.2913838872399999</v>
      </c>
      <c r="M88">
        <v>2.2913838872399999</v>
      </c>
    </row>
    <row r="89" spans="1:13" x14ac:dyDescent="0.2">
      <c r="A89" t="s">
        <v>23</v>
      </c>
      <c r="B89">
        <v>2.2028248635100001</v>
      </c>
      <c r="C89">
        <v>2.2028248635100001</v>
      </c>
      <c r="D89">
        <v>0.13716911371000001</v>
      </c>
      <c r="E89">
        <v>0.13716911371000001</v>
      </c>
      <c r="F89">
        <v>8.9817258580299999</v>
      </c>
      <c r="G89">
        <v>8.9817258580299999</v>
      </c>
      <c r="H89">
        <v>0.36989020812000001</v>
      </c>
      <c r="I89">
        <v>0.36989020812000001</v>
      </c>
      <c r="J89">
        <v>0.12180995369</v>
      </c>
      <c r="K89">
        <v>0.12180995369</v>
      </c>
      <c r="L89">
        <v>2.2913838872399999</v>
      </c>
      <c r="M89">
        <v>2.2913838872399999</v>
      </c>
    </row>
    <row r="90" spans="1:13" x14ac:dyDescent="0.2">
      <c r="A90" t="s">
        <v>24</v>
      </c>
      <c r="B90">
        <v>2.6336588645300001</v>
      </c>
      <c r="C90">
        <v>2.6336588645300001</v>
      </c>
      <c r="D90">
        <v>0.96533348966999999</v>
      </c>
      <c r="E90">
        <v>0.96533348966999999</v>
      </c>
      <c r="F90">
        <v>6.2526997556200001</v>
      </c>
      <c r="G90">
        <v>6.2526997556200001</v>
      </c>
      <c r="H90">
        <v>0.35034192297</v>
      </c>
      <c r="I90">
        <v>0.35034192297</v>
      </c>
      <c r="J90">
        <v>2.2913838872399999</v>
      </c>
      <c r="K90">
        <v>2.2913838872399999</v>
      </c>
      <c r="L90">
        <v>2.2913838872399999</v>
      </c>
      <c r="M90">
        <v>2.2913838872399999</v>
      </c>
    </row>
    <row r="91" spans="1:13" x14ac:dyDescent="0.2">
      <c r="A91" t="s">
        <v>25</v>
      </c>
      <c r="B91">
        <v>3.6261886214699999</v>
      </c>
      <c r="C91">
        <v>3.6261886214699999</v>
      </c>
      <c r="D91">
        <v>0.87052877370000004</v>
      </c>
      <c r="E91">
        <v>0.87052877370000004</v>
      </c>
      <c r="F91">
        <v>1.2420947222900001</v>
      </c>
      <c r="G91">
        <v>1.2420947222900001</v>
      </c>
      <c r="H91">
        <v>0.38674937895</v>
      </c>
      <c r="I91">
        <v>0.38674937895</v>
      </c>
      <c r="J91">
        <v>2.2913838872399999</v>
      </c>
      <c r="K91">
        <v>2.2913838872399999</v>
      </c>
      <c r="L91">
        <v>2.2913838872399999</v>
      </c>
      <c r="M91">
        <v>2.2913838872399999</v>
      </c>
    </row>
    <row r="92" spans="1:13" x14ac:dyDescent="0.2">
      <c r="A92" t="s">
        <v>26</v>
      </c>
      <c r="B92">
        <v>1.98486114017</v>
      </c>
      <c r="C92">
        <v>1.98486114017</v>
      </c>
      <c r="D92">
        <v>0.23741693827999999</v>
      </c>
      <c r="E92">
        <v>0.23741693827999999</v>
      </c>
      <c r="F92">
        <v>6.4702581285000003</v>
      </c>
      <c r="G92">
        <v>6.4702581285000003</v>
      </c>
      <c r="H92">
        <v>1.3938420250800001</v>
      </c>
      <c r="I92">
        <v>1.3938420250800001</v>
      </c>
      <c r="J92">
        <v>2.2913838872399999</v>
      </c>
      <c r="K92">
        <v>2.2913838872399999</v>
      </c>
      <c r="L92">
        <v>2.2913838872399999</v>
      </c>
      <c r="M92">
        <v>2.2913838872399999</v>
      </c>
    </row>
    <row r="93" spans="1:13" x14ac:dyDescent="0.2">
      <c r="A93" t="s">
        <v>27</v>
      </c>
      <c r="B93">
        <v>2.2047872910000001</v>
      </c>
      <c r="C93">
        <v>2.2047872910000001</v>
      </c>
      <c r="D93">
        <v>0.10375741469999999</v>
      </c>
      <c r="E93">
        <v>0.10375741469999999</v>
      </c>
      <c r="F93">
        <v>1.6637806616199999</v>
      </c>
      <c r="G93">
        <v>1.6637806616199999</v>
      </c>
      <c r="H93">
        <v>1.1025052577000001</v>
      </c>
      <c r="I93">
        <v>1.1025052577000001</v>
      </c>
      <c r="J93">
        <v>2.2913838872399999</v>
      </c>
      <c r="K93">
        <v>2.2913838872399999</v>
      </c>
      <c r="L93">
        <v>2.2913838872399999</v>
      </c>
      <c r="M93">
        <v>2.2913838872399999</v>
      </c>
    </row>
    <row r="94" spans="1:13" x14ac:dyDescent="0.2">
      <c r="A94" t="s">
        <v>28</v>
      </c>
      <c r="B94">
        <v>2.110766511</v>
      </c>
      <c r="C94">
        <v>2.110766511</v>
      </c>
      <c r="D94">
        <v>1.2452194888799999</v>
      </c>
      <c r="E94">
        <v>1.2452194888799999</v>
      </c>
      <c r="F94">
        <v>0.74826114411</v>
      </c>
      <c r="G94">
        <v>0.74826114411</v>
      </c>
      <c r="H94">
        <v>0.84054297911999998</v>
      </c>
      <c r="I94">
        <v>0.84054297911999998</v>
      </c>
      <c r="J94">
        <v>2.2913838872399999</v>
      </c>
      <c r="K94">
        <v>2.2913838872399999</v>
      </c>
      <c r="L94">
        <v>2.2913838872399999</v>
      </c>
      <c r="M94">
        <v>2.2913838872399999</v>
      </c>
    </row>
    <row r="95" spans="1:13" x14ac:dyDescent="0.2">
      <c r="A95" t="s">
        <v>29</v>
      </c>
      <c r="B95">
        <v>2.6044448662500002</v>
      </c>
      <c r="C95">
        <v>2.6044448662500002</v>
      </c>
      <c r="D95">
        <v>0.60919968841000005</v>
      </c>
      <c r="E95">
        <v>0.60919968841000005</v>
      </c>
      <c r="F95">
        <v>0.12160047827999999</v>
      </c>
      <c r="G95">
        <v>0.12160047827999999</v>
      </c>
      <c r="H95">
        <v>0.64185184374000004</v>
      </c>
      <c r="I95">
        <v>0.64185184374000004</v>
      </c>
      <c r="J95">
        <v>2.2913838872399999</v>
      </c>
      <c r="K95">
        <v>2.2913838872399999</v>
      </c>
      <c r="L95">
        <v>2.2913838872399999</v>
      </c>
      <c r="M95">
        <v>2.2913838872399999</v>
      </c>
    </row>
    <row r="97" spans="1:13" x14ac:dyDescent="0.2">
      <c r="A97" t="s">
        <v>0</v>
      </c>
    </row>
    <row r="98" spans="1:13" x14ac:dyDescent="0.2">
      <c r="A98" t="s">
        <v>1</v>
      </c>
      <c r="B98" t="s">
        <v>2</v>
      </c>
      <c r="C98" t="s">
        <v>3</v>
      </c>
      <c r="D98" t="s">
        <v>5</v>
      </c>
      <c r="E98" t="s">
        <v>6</v>
      </c>
      <c r="F98" t="s">
        <v>7</v>
      </c>
      <c r="G98" t="s">
        <v>8</v>
      </c>
      <c r="H98" t="s">
        <v>49</v>
      </c>
      <c r="I98" t="s">
        <v>50</v>
      </c>
      <c r="J98" t="s">
        <v>51</v>
      </c>
      <c r="K98" t="s">
        <v>52</v>
      </c>
      <c r="L98" t="s">
        <v>53</v>
      </c>
      <c r="M98" t="s">
        <v>9</v>
      </c>
    </row>
    <row r="99" spans="1:13" x14ac:dyDescent="0.2">
      <c r="A99">
        <v>1</v>
      </c>
      <c r="B99">
        <v>1</v>
      </c>
      <c r="C99" t="str">
        <f>""</f>
        <v/>
      </c>
      <c r="D99">
        <v>28.15</v>
      </c>
      <c r="E99">
        <v>28.1</v>
      </c>
      <c r="F99">
        <v>26.1</v>
      </c>
      <c r="G99">
        <v>26.1</v>
      </c>
      <c r="H99" t="s">
        <v>19</v>
      </c>
      <c r="I99">
        <v>0</v>
      </c>
      <c r="J99">
        <v>0</v>
      </c>
      <c r="K99" t="s">
        <v>20</v>
      </c>
      <c r="L99">
        <v>1</v>
      </c>
      <c r="M99" s="1">
        <v>44216.612754629627</v>
      </c>
    </row>
    <row r="101" spans="1:13" x14ac:dyDescent="0.2">
      <c r="A101" t="s">
        <v>12</v>
      </c>
    </row>
    <row r="102" spans="1:13" x14ac:dyDescent="0.2">
      <c r="A102" t="s">
        <v>1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</row>
    <row r="103" spans="1:13" x14ac:dyDescent="0.2">
      <c r="A103">
        <v>1</v>
      </c>
      <c r="B103" t="s">
        <v>19</v>
      </c>
      <c r="C103">
        <v>0</v>
      </c>
      <c r="D103">
        <v>308037</v>
      </c>
      <c r="E103">
        <v>9</v>
      </c>
      <c r="F103" s="2">
        <v>0</v>
      </c>
      <c r="G103" t="s">
        <v>20</v>
      </c>
    </row>
    <row r="105" spans="1:13" x14ac:dyDescent="0.2">
      <c r="A105" t="s">
        <v>54</v>
      </c>
    </row>
    <row r="106" spans="1:13" x14ac:dyDescent="0.2">
      <c r="B106">
        <v>1</v>
      </c>
      <c r="C106">
        <v>2</v>
      </c>
      <c r="D106">
        <v>3</v>
      </c>
      <c r="E106">
        <v>4</v>
      </c>
      <c r="F106">
        <v>5</v>
      </c>
      <c r="G106">
        <v>6</v>
      </c>
      <c r="H106">
        <v>7</v>
      </c>
      <c r="I106">
        <v>8</v>
      </c>
      <c r="J106">
        <v>9</v>
      </c>
      <c r="K106">
        <v>10</v>
      </c>
      <c r="L106">
        <v>11</v>
      </c>
      <c r="M106">
        <v>12</v>
      </c>
    </row>
    <row r="107" spans="1:13" x14ac:dyDescent="0.2">
      <c r="A107" t="s">
        <v>22</v>
      </c>
      <c r="B107">
        <v>1.788</v>
      </c>
      <c r="C107">
        <v>1.7589999999999999</v>
      </c>
      <c r="D107">
        <v>0.53100000000000003</v>
      </c>
      <c r="E107">
        <v>0.52300000000000002</v>
      </c>
      <c r="F107">
        <v>0.78</v>
      </c>
      <c r="G107">
        <v>0.78200000000000003</v>
      </c>
      <c r="H107">
        <v>0.59599999999999997</v>
      </c>
      <c r="I107">
        <v>0.58599999999999997</v>
      </c>
      <c r="J107">
        <v>0.67900000000000005</v>
      </c>
      <c r="K107">
        <v>0.67900000000000005</v>
      </c>
      <c r="L107">
        <v>4.2000000000000003E-2</v>
      </c>
      <c r="M107">
        <v>4.1000000000000002E-2</v>
      </c>
    </row>
    <row r="108" spans="1:13" x14ac:dyDescent="0.2">
      <c r="A108" t="s">
        <v>23</v>
      </c>
      <c r="B108">
        <v>1.4670000000000001</v>
      </c>
      <c r="C108">
        <v>1.4219999999999999</v>
      </c>
      <c r="D108">
        <v>0.51500000000000001</v>
      </c>
      <c r="E108">
        <v>0.51600000000000001</v>
      </c>
      <c r="F108">
        <v>0.81100000000000005</v>
      </c>
      <c r="G108">
        <v>0.92100000000000004</v>
      </c>
      <c r="H108">
        <v>0.57199999999999995</v>
      </c>
      <c r="I108">
        <v>0.57499999999999996</v>
      </c>
      <c r="J108">
        <v>0.57999999999999996</v>
      </c>
      <c r="K108">
        <v>0.58099999999999996</v>
      </c>
      <c r="L108">
        <v>4.2000000000000003E-2</v>
      </c>
      <c r="M108">
        <v>4.1000000000000002E-2</v>
      </c>
    </row>
    <row r="109" spans="1:13" x14ac:dyDescent="0.2">
      <c r="A109" t="s">
        <v>24</v>
      </c>
      <c r="B109">
        <v>1.1759999999999999</v>
      </c>
      <c r="C109">
        <v>1.133</v>
      </c>
      <c r="D109">
        <v>0.88500000000000001</v>
      </c>
      <c r="E109">
        <v>0.873</v>
      </c>
      <c r="F109">
        <v>0.80300000000000005</v>
      </c>
      <c r="G109">
        <v>0.73499999999999999</v>
      </c>
      <c r="H109">
        <v>0.60399999999999998</v>
      </c>
      <c r="I109">
        <v>0.60699999999999998</v>
      </c>
      <c r="J109">
        <v>4.2000000000000003E-2</v>
      </c>
      <c r="K109">
        <v>4.2000000000000003E-2</v>
      </c>
      <c r="L109">
        <v>4.2000000000000003E-2</v>
      </c>
      <c r="M109">
        <v>4.3999999999999997E-2</v>
      </c>
    </row>
    <row r="110" spans="1:13" x14ac:dyDescent="0.2">
      <c r="A110" t="s">
        <v>25</v>
      </c>
      <c r="B110">
        <v>1.02</v>
      </c>
      <c r="C110">
        <v>0.96899999999999997</v>
      </c>
      <c r="D110">
        <v>0.88800000000000001</v>
      </c>
      <c r="E110">
        <v>0.89900000000000002</v>
      </c>
      <c r="F110">
        <v>0.80400000000000005</v>
      </c>
      <c r="G110">
        <v>0.79</v>
      </c>
      <c r="H110">
        <v>0.54700000000000004</v>
      </c>
      <c r="I110">
        <v>0.55000000000000004</v>
      </c>
      <c r="J110">
        <v>4.2000000000000003E-2</v>
      </c>
      <c r="K110">
        <v>4.2000000000000003E-2</v>
      </c>
      <c r="L110">
        <v>4.4999999999999998E-2</v>
      </c>
      <c r="M110">
        <v>4.1000000000000002E-2</v>
      </c>
    </row>
    <row r="111" spans="1:13" x14ac:dyDescent="0.2">
      <c r="A111" t="s">
        <v>26</v>
      </c>
      <c r="B111">
        <v>0.86699999999999999</v>
      </c>
      <c r="C111">
        <v>0.84299999999999997</v>
      </c>
      <c r="D111">
        <v>0.89200000000000002</v>
      </c>
      <c r="E111">
        <v>0.89500000000000002</v>
      </c>
      <c r="F111">
        <v>0.73</v>
      </c>
      <c r="G111">
        <v>0.8</v>
      </c>
      <c r="H111">
        <v>0.65300000000000002</v>
      </c>
      <c r="I111">
        <v>0.66600000000000004</v>
      </c>
      <c r="J111">
        <v>4.2999999999999997E-2</v>
      </c>
      <c r="K111">
        <v>4.2000000000000003E-2</v>
      </c>
      <c r="L111">
        <v>4.2000000000000003E-2</v>
      </c>
      <c r="M111">
        <v>4.2000000000000003E-2</v>
      </c>
    </row>
    <row r="112" spans="1:13" x14ac:dyDescent="0.2">
      <c r="A112" t="s">
        <v>27</v>
      </c>
      <c r="B112">
        <v>0.68400000000000005</v>
      </c>
      <c r="C112">
        <v>0.66300000000000003</v>
      </c>
      <c r="D112">
        <v>0.68200000000000005</v>
      </c>
      <c r="E112">
        <v>0.68100000000000005</v>
      </c>
      <c r="F112">
        <v>0.63</v>
      </c>
      <c r="G112">
        <v>0.64500000000000002</v>
      </c>
      <c r="H112">
        <v>0.71099999999999997</v>
      </c>
      <c r="I112">
        <v>0.7</v>
      </c>
      <c r="J112">
        <v>4.2999999999999997E-2</v>
      </c>
      <c r="K112">
        <v>4.2000000000000003E-2</v>
      </c>
      <c r="L112">
        <v>4.2000000000000003E-2</v>
      </c>
      <c r="M112">
        <v>4.2000000000000003E-2</v>
      </c>
    </row>
    <row r="113" spans="1:13" x14ac:dyDescent="0.2">
      <c r="A113" t="s">
        <v>28</v>
      </c>
      <c r="B113">
        <v>0.61199999999999999</v>
      </c>
      <c r="C113">
        <v>0.59399999999999997</v>
      </c>
      <c r="D113">
        <v>0.78800000000000003</v>
      </c>
      <c r="E113">
        <v>0.80200000000000005</v>
      </c>
      <c r="F113">
        <v>0.56399999999999995</v>
      </c>
      <c r="G113">
        <v>0.56999999999999995</v>
      </c>
      <c r="H113">
        <v>0.66900000000000004</v>
      </c>
      <c r="I113">
        <v>0.67700000000000005</v>
      </c>
      <c r="J113">
        <v>4.2000000000000003E-2</v>
      </c>
      <c r="K113">
        <v>4.2000000000000003E-2</v>
      </c>
      <c r="L113">
        <v>4.1000000000000002E-2</v>
      </c>
      <c r="M113">
        <v>4.2000000000000003E-2</v>
      </c>
    </row>
    <row r="114" spans="1:13" x14ac:dyDescent="0.2">
      <c r="A114" t="s">
        <v>29</v>
      </c>
      <c r="B114">
        <v>0.55300000000000005</v>
      </c>
      <c r="C114">
        <v>0.53300000000000003</v>
      </c>
      <c r="D114">
        <v>0.81599999999999995</v>
      </c>
      <c r="E114">
        <v>0.80900000000000005</v>
      </c>
      <c r="F114">
        <v>0.58099999999999996</v>
      </c>
      <c r="G114">
        <v>0.58199999999999996</v>
      </c>
      <c r="H114">
        <v>0.65800000000000003</v>
      </c>
      <c r="I114">
        <v>0.66400000000000003</v>
      </c>
      <c r="J114">
        <v>4.1000000000000002E-2</v>
      </c>
      <c r="K114">
        <v>4.2000000000000003E-2</v>
      </c>
      <c r="L114">
        <v>0.04</v>
      </c>
      <c r="M114">
        <v>4.1000000000000002E-2</v>
      </c>
    </row>
    <row r="117" spans="1:13" x14ac:dyDescent="0.2">
      <c r="A117" t="s">
        <v>55</v>
      </c>
    </row>
    <row r="118" spans="1:13" x14ac:dyDescent="0.2">
      <c r="A118" t="s">
        <v>56</v>
      </c>
      <c r="E118">
        <v>1694</v>
      </c>
    </row>
    <row r="119" spans="1:13" x14ac:dyDescent="0.2">
      <c r="A119" t="s">
        <v>57</v>
      </c>
      <c r="E119" s="1">
        <v>44216.612245370372</v>
      </c>
    </row>
    <row r="120" spans="1:13" x14ac:dyDescent="0.2">
      <c r="A120" t="s">
        <v>58</v>
      </c>
      <c r="E120" s="1">
        <v>44216.613067129627</v>
      </c>
    </row>
    <row r="121" spans="1:13" x14ac:dyDescent="0.2">
      <c r="A121" t="s">
        <v>59</v>
      </c>
      <c r="E121" s="1">
        <v>44216.617060185185</v>
      </c>
    </row>
    <row r="122" spans="1:13" x14ac:dyDescent="0.2">
      <c r="A122" t="s">
        <v>60</v>
      </c>
      <c r="E122" t="s">
        <v>11</v>
      </c>
    </row>
    <row r="123" spans="1:13" x14ac:dyDescent="0.2">
      <c r="A123" t="s">
        <v>61</v>
      </c>
      <c r="E123">
        <v>100175</v>
      </c>
    </row>
    <row r="124" spans="1:13" x14ac:dyDescent="0.2">
      <c r="A124" t="s">
        <v>62</v>
      </c>
      <c r="E124" t="s">
        <v>63</v>
      </c>
    </row>
    <row r="125" spans="1:13" x14ac:dyDescent="0.2">
      <c r="A125" t="s">
        <v>64</v>
      </c>
      <c r="E125" t="str">
        <f>"23000584"</f>
        <v>23000584</v>
      </c>
    </row>
    <row r="129" spans="1:5" x14ac:dyDescent="0.2">
      <c r="A129" t="s">
        <v>65</v>
      </c>
    </row>
    <row r="130" spans="1:5" x14ac:dyDescent="0.2">
      <c r="A130" t="s">
        <v>66</v>
      </c>
    </row>
    <row r="131" spans="1:5" x14ac:dyDescent="0.2">
      <c r="A131" t="s">
        <v>67</v>
      </c>
      <c r="E131" t="s">
        <v>63</v>
      </c>
    </row>
    <row r="132" spans="1:5" x14ac:dyDescent="0.2">
      <c r="A132" t="s">
        <v>68</v>
      </c>
      <c r="E132">
        <v>1</v>
      </c>
    </row>
    <row r="133" spans="1:5" x14ac:dyDescent="0.2">
      <c r="A133" t="s">
        <v>69</v>
      </c>
      <c r="E133" t="s">
        <v>11</v>
      </c>
    </row>
    <row r="134" spans="1:5" x14ac:dyDescent="0.2">
      <c r="A134" t="s">
        <v>70</v>
      </c>
      <c r="E134">
        <v>1</v>
      </c>
    </row>
    <row r="135" spans="1:5" x14ac:dyDescent="0.2">
      <c r="A135" t="s">
        <v>71</v>
      </c>
      <c r="E135" t="s">
        <v>11</v>
      </c>
    </row>
    <row r="136" spans="1:5" x14ac:dyDescent="0.2">
      <c r="A136" t="s">
        <v>72</v>
      </c>
      <c r="E136" t="s">
        <v>73</v>
      </c>
    </row>
    <row r="137" spans="1:5" x14ac:dyDescent="0.2">
      <c r="A137" t="s">
        <v>74</v>
      </c>
      <c r="E137" t="s">
        <v>40</v>
      </c>
    </row>
    <row r="138" spans="1:5" x14ac:dyDescent="0.2">
      <c r="A138" t="s">
        <v>75</v>
      </c>
      <c r="E138" t="s">
        <v>40</v>
      </c>
    </row>
    <row r="139" spans="1:5" x14ac:dyDescent="0.2">
      <c r="A139" t="s">
        <v>76</v>
      </c>
      <c r="E139" t="s">
        <v>77</v>
      </c>
    </row>
    <row r="141" spans="1:5" x14ac:dyDescent="0.2">
      <c r="A141" t="s">
        <v>78</v>
      </c>
    </row>
    <row r="142" spans="1:5" x14ac:dyDescent="0.2">
      <c r="A142" t="s">
        <v>79</v>
      </c>
      <c r="E142" t="s">
        <v>80</v>
      </c>
    </row>
    <row r="143" spans="1:5" x14ac:dyDescent="0.2">
      <c r="A143" t="s">
        <v>81</v>
      </c>
      <c r="E143">
        <v>8</v>
      </c>
    </row>
    <row r="144" spans="1:5" x14ac:dyDescent="0.2">
      <c r="A144" t="s">
        <v>82</v>
      </c>
      <c r="E144">
        <v>12</v>
      </c>
    </row>
    <row r="145" spans="1:5" x14ac:dyDescent="0.2">
      <c r="A145" t="s">
        <v>83</v>
      </c>
      <c r="E145">
        <v>96</v>
      </c>
    </row>
    <row r="146" spans="1:5" x14ac:dyDescent="0.2">
      <c r="A146" t="s">
        <v>84</v>
      </c>
      <c r="E146" t="s">
        <v>85</v>
      </c>
    </row>
    <row r="147" spans="1:5" x14ac:dyDescent="0.2">
      <c r="A147" t="s">
        <v>86</v>
      </c>
      <c r="E147" t="s">
        <v>87</v>
      </c>
    </row>
    <row r="148" spans="1:5" x14ac:dyDescent="0.2">
      <c r="A148" t="s">
        <v>88</v>
      </c>
      <c r="E148" t="s">
        <v>89</v>
      </c>
    </row>
    <row r="150" spans="1:5" x14ac:dyDescent="0.2">
      <c r="A150" t="s">
        <v>90</v>
      </c>
    </row>
    <row r="151" spans="1:5" x14ac:dyDescent="0.2">
      <c r="A151" t="s">
        <v>80</v>
      </c>
    </row>
    <row r="152" spans="1:5" x14ac:dyDescent="0.2">
      <c r="A152" t="s">
        <v>91</v>
      </c>
    </row>
    <row r="153" spans="1:5" x14ac:dyDescent="0.2">
      <c r="A153" t="s">
        <v>92</v>
      </c>
    </row>
    <row r="155" spans="1:5" x14ac:dyDescent="0.2">
      <c r="A155" t="s">
        <v>91</v>
      </c>
    </row>
    <row r="156" spans="1:5" x14ac:dyDescent="0.2">
      <c r="A156" t="s">
        <v>93</v>
      </c>
    </row>
    <row r="158" spans="1:5" x14ac:dyDescent="0.2">
      <c r="A158" t="s">
        <v>94</v>
      </c>
    </row>
    <row r="159" spans="1:5" x14ac:dyDescent="0.2">
      <c r="A159" t="s">
        <v>1</v>
      </c>
      <c r="E159">
        <v>1</v>
      </c>
    </row>
    <row r="161" spans="1:13" x14ac:dyDescent="0.2">
      <c r="B161">
        <v>1</v>
      </c>
      <c r="C161">
        <v>2</v>
      </c>
      <c r="D161">
        <v>3</v>
      </c>
      <c r="E161">
        <v>4</v>
      </c>
      <c r="F161">
        <v>5</v>
      </c>
      <c r="G161">
        <v>6</v>
      </c>
      <c r="H161">
        <v>7</v>
      </c>
      <c r="I161">
        <v>8</v>
      </c>
      <c r="J161">
        <v>9</v>
      </c>
      <c r="K161">
        <v>10</v>
      </c>
      <c r="L161">
        <v>11</v>
      </c>
      <c r="M161">
        <v>12</v>
      </c>
    </row>
    <row r="162" spans="1:13" x14ac:dyDescent="0.2">
      <c r="A162" t="s">
        <v>22</v>
      </c>
      <c r="B162" t="s">
        <v>95</v>
      </c>
      <c r="C162" t="s">
        <v>95</v>
      </c>
      <c r="D162" t="s">
        <v>96</v>
      </c>
      <c r="E162" t="s">
        <v>96</v>
      </c>
      <c r="F162" t="s">
        <v>97</v>
      </c>
      <c r="G162" t="s">
        <v>97</v>
      </c>
      <c r="H162" t="s">
        <v>98</v>
      </c>
      <c r="I162" t="s">
        <v>98</v>
      </c>
      <c r="J162" t="s">
        <v>99</v>
      </c>
      <c r="K162" t="s">
        <v>99</v>
      </c>
      <c r="L162" t="s">
        <v>100</v>
      </c>
      <c r="M162" t="s">
        <v>100</v>
      </c>
    </row>
    <row r="163" spans="1:13" x14ac:dyDescent="0.2">
      <c r="A163" t="s">
        <v>23</v>
      </c>
      <c r="B163" t="s">
        <v>101</v>
      </c>
      <c r="C163" t="s">
        <v>101</v>
      </c>
      <c r="D163" t="s">
        <v>102</v>
      </c>
      <c r="E163" t="s">
        <v>102</v>
      </c>
      <c r="F163" t="s">
        <v>103</v>
      </c>
      <c r="G163" t="s">
        <v>103</v>
      </c>
      <c r="H163" t="s">
        <v>104</v>
      </c>
      <c r="I163" t="s">
        <v>104</v>
      </c>
      <c r="J163" t="s">
        <v>105</v>
      </c>
      <c r="K163" t="s">
        <v>105</v>
      </c>
      <c r="L163" t="s">
        <v>100</v>
      </c>
      <c r="M163" t="s">
        <v>100</v>
      </c>
    </row>
    <row r="164" spans="1:13" x14ac:dyDescent="0.2">
      <c r="A164" t="s">
        <v>24</v>
      </c>
      <c r="B164" t="s">
        <v>106</v>
      </c>
      <c r="C164" t="s">
        <v>106</v>
      </c>
      <c r="D164" t="s">
        <v>107</v>
      </c>
      <c r="E164" t="s">
        <v>107</v>
      </c>
      <c r="F164" t="s">
        <v>108</v>
      </c>
      <c r="G164" t="s">
        <v>108</v>
      </c>
      <c r="H164" t="s">
        <v>109</v>
      </c>
      <c r="I164" t="s">
        <v>109</v>
      </c>
      <c r="J164" t="s">
        <v>100</v>
      </c>
      <c r="K164" t="s">
        <v>100</v>
      </c>
      <c r="L164" t="s">
        <v>100</v>
      </c>
      <c r="M164" t="s">
        <v>100</v>
      </c>
    </row>
    <row r="165" spans="1:13" x14ac:dyDescent="0.2">
      <c r="A165" t="s">
        <v>25</v>
      </c>
      <c r="B165" t="s">
        <v>110</v>
      </c>
      <c r="C165" t="s">
        <v>110</v>
      </c>
      <c r="D165" t="s">
        <v>111</v>
      </c>
      <c r="E165" t="s">
        <v>111</v>
      </c>
      <c r="F165" t="s">
        <v>112</v>
      </c>
      <c r="G165" t="s">
        <v>112</v>
      </c>
      <c r="H165" t="s">
        <v>113</v>
      </c>
      <c r="I165" t="s">
        <v>113</v>
      </c>
      <c r="J165" t="s">
        <v>100</v>
      </c>
      <c r="K165" t="s">
        <v>100</v>
      </c>
      <c r="L165" t="s">
        <v>100</v>
      </c>
      <c r="M165" t="s">
        <v>100</v>
      </c>
    </row>
    <row r="166" spans="1:13" x14ac:dyDescent="0.2">
      <c r="A166" t="s">
        <v>26</v>
      </c>
      <c r="B166" t="s">
        <v>114</v>
      </c>
      <c r="C166" t="s">
        <v>114</v>
      </c>
      <c r="D166" t="s">
        <v>115</v>
      </c>
      <c r="E166" t="s">
        <v>115</v>
      </c>
      <c r="F166" t="s">
        <v>116</v>
      </c>
      <c r="G166" t="s">
        <v>116</v>
      </c>
      <c r="H166" t="s">
        <v>117</v>
      </c>
      <c r="I166" t="s">
        <v>117</v>
      </c>
      <c r="J166" t="s">
        <v>100</v>
      </c>
      <c r="K166" t="s">
        <v>100</v>
      </c>
      <c r="L166" t="s">
        <v>100</v>
      </c>
      <c r="M166" t="s">
        <v>100</v>
      </c>
    </row>
    <row r="167" spans="1:13" x14ac:dyDescent="0.2">
      <c r="A167" t="s">
        <v>27</v>
      </c>
      <c r="B167" t="s">
        <v>118</v>
      </c>
      <c r="C167" t="s">
        <v>118</v>
      </c>
      <c r="D167" t="s">
        <v>119</v>
      </c>
      <c r="E167" t="s">
        <v>119</v>
      </c>
      <c r="F167" t="s">
        <v>120</v>
      </c>
      <c r="G167" t="s">
        <v>120</v>
      </c>
      <c r="H167" t="s">
        <v>121</v>
      </c>
      <c r="I167" t="s">
        <v>121</v>
      </c>
      <c r="J167" t="s">
        <v>100</v>
      </c>
      <c r="K167" t="s">
        <v>100</v>
      </c>
      <c r="L167" t="s">
        <v>100</v>
      </c>
      <c r="M167" t="s">
        <v>100</v>
      </c>
    </row>
    <row r="168" spans="1:13" x14ac:dyDescent="0.2">
      <c r="A168" t="s">
        <v>28</v>
      </c>
      <c r="B168" t="s">
        <v>122</v>
      </c>
      <c r="C168" t="s">
        <v>122</v>
      </c>
      <c r="D168" t="s">
        <v>123</v>
      </c>
      <c r="E168" t="s">
        <v>123</v>
      </c>
      <c r="F168" t="s">
        <v>124</v>
      </c>
      <c r="G168" t="s">
        <v>124</v>
      </c>
      <c r="H168" t="s">
        <v>125</v>
      </c>
      <c r="I168" t="s">
        <v>125</v>
      </c>
      <c r="J168" t="s">
        <v>100</v>
      </c>
      <c r="K168" t="s">
        <v>100</v>
      </c>
      <c r="L168" t="s">
        <v>100</v>
      </c>
      <c r="M168" t="s">
        <v>100</v>
      </c>
    </row>
    <row r="169" spans="1:13" x14ac:dyDescent="0.2">
      <c r="A169" t="s">
        <v>29</v>
      </c>
      <c r="B169" t="s">
        <v>126</v>
      </c>
      <c r="C169" t="s">
        <v>126</v>
      </c>
      <c r="D169" t="s">
        <v>127</v>
      </c>
      <c r="E169" t="s">
        <v>127</v>
      </c>
      <c r="F169" t="s">
        <v>128</v>
      </c>
      <c r="G169" t="s">
        <v>128</v>
      </c>
      <c r="H169" t="s">
        <v>129</v>
      </c>
      <c r="I169" t="s">
        <v>129</v>
      </c>
      <c r="J169" t="s">
        <v>100</v>
      </c>
      <c r="K169" t="s">
        <v>100</v>
      </c>
      <c r="L169" t="s">
        <v>100</v>
      </c>
      <c r="M169" t="s">
        <v>100</v>
      </c>
    </row>
    <row r="171" spans="1:13" x14ac:dyDescent="0.2">
      <c r="A171" t="s">
        <v>130</v>
      </c>
    </row>
    <row r="172" spans="1:13" x14ac:dyDescent="0.2">
      <c r="A172" t="s">
        <v>131</v>
      </c>
    </row>
    <row r="173" spans="1:13" x14ac:dyDescent="0.2">
      <c r="A173" t="s">
        <v>132</v>
      </c>
    </row>
    <row r="174" spans="1:13" x14ac:dyDescent="0.2">
      <c r="A174" t="s">
        <v>133</v>
      </c>
    </row>
    <row r="176" spans="1:13" x14ac:dyDescent="0.2">
      <c r="A176" t="s">
        <v>134</v>
      </c>
    </row>
    <row r="177" spans="1:5" x14ac:dyDescent="0.2">
      <c r="A177" t="s">
        <v>1</v>
      </c>
      <c r="E177">
        <v>1</v>
      </c>
    </row>
    <row r="178" spans="1:5" x14ac:dyDescent="0.2">
      <c r="A178" t="s">
        <v>135</v>
      </c>
      <c r="E178" t="s">
        <v>136</v>
      </c>
    </row>
    <row r="179" spans="1:5" x14ac:dyDescent="0.2">
      <c r="A179" t="s">
        <v>137</v>
      </c>
      <c r="E179" t="s">
        <v>138</v>
      </c>
    </row>
    <row r="180" spans="1:5" x14ac:dyDescent="0.2">
      <c r="A180" t="s">
        <v>139</v>
      </c>
      <c r="E180" t="s">
        <v>140</v>
      </c>
    </row>
    <row r="182" spans="1:5" x14ac:dyDescent="0.2">
      <c r="A182" t="s">
        <v>135</v>
      </c>
      <c r="E182" t="s">
        <v>141</v>
      </c>
    </row>
    <row r="183" spans="1:5" x14ac:dyDescent="0.2">
      <c r="A183" t="s">
        <v>137</v>
      </c>
      <c r="E183" t="s">
        <v>142</v>
      </c>
    </row>
    <row r="184" spans="1:5" x14ac:dyDescent="0.2">
      <c r="A184" t="s">
        <v>139</v>
      </c>
      <c r="E184" t="s">
        <v>143</v>
      </c>
    </row>
    <row r="185" spans="1:5" x14ac:dyDescent="0.2">
      <c r="A185" t="s">
        <v>144</v>
      </c>
      <c r="E185" t="s">
        <v>145</v>
      </c>
    </row>
    <row r="186" spans="1:5" x14ac:dyDescent="0.2">
      <c r="A186" t="s">
        <v>146</v>
      </c>
      <c r="E186" t="s">
        <v>147</v>
      </c>
    </row>
    <row r="187" spans="1:5" x14ac:dyDescent="0.2">
      <c r="A187" t="s">
        <v>148</v>
      </c>
      <c r="E187" t="s">
        <v>149</v>
      </c>
    </row>
    <row r="188" spans="1:5" x14ac:dyDescent="0.2">
      <c r="A188" t="s">
        <v>150</v>
      </c>
      <c r="E188" t="s">
        <v>40</v>
      </c>
    </row>
    <row r="189" spans="1:5" x14ac:dyDescent="0.2">
      <c r="A189" t="s">
        <v>151</v>
      </c>
      <c r="E189" t="s">
        <v>152</v>
      </c>
    </row>
    <row r="190" spans="1:5" x14ac:dyDescent="0.2">
      <c r="A190" t="s">
        <v>153</v>
      </c>
      <c r="E190" t="s">
        <v>152</v>
      </c>
    </row>
    <row r="191" spans="1:5" x14ac:dyDescent="0.2">
      <c r="A191" t="s">
        <v>154</v>
      </c>
      <c r="E191">
        <v>2000</v>
      </c>
    </row>
    <row r="192" spans="1:5" x14ac:dyDescent="0.2">
      <c r="A192" t="s">
        <v>155</v>
      </c>
      <c r="E192">
        <v>1500</v>
      </c>
    </row>
    <row r="193" spans="1:5" x14ac:dyDescent="0.2">
      <c r="A193" t="s">
        <v>156</v>
      </c>
      <c r="E193">
        <v>1000</v>
      </c>
    </row>
    <row r="194" spans="1:5" x14ac:dyDescent="0.2">
      <c r="A194" t="s">
        <v>157</v>
      </c>
      <c r="E194">
        <v>750</v>
      </c>
    </row>
    <row r="195" spans="1:5" x14ac:dyDescent="0.2">
      <c r="A195" t="s">
        <v>158</v>
      </c>
      <c r="E195">
        <v>500</v>
      </c>
    </row>
    <row r="196" spans="1:5" x14ac:dyDescent="0.2">
      <c r="A196" t="s">
        <v>159</v>
      </c>
      <c r="E196">
        <v>250</v>
      </c>
    </row>
    <row r="197" spans="1:5" x14ac:dyDescent="0.2">
      <c r="A197" t="s">
        <v>160</v>
      </c>
      <c r="E197">
        <v>125</v>
      </c>
    </row>
    <row r="198" spans="1:5" x14ac:dyDescent="0.2">
      <c r="A198" t="s">
        <v>161</v>
      </c>
      <c r="E198">
        <v>25</v>
      </c>
    </row>
    <row r="199" spans="1:5" x14ac:dyDescent="0.2">
      <c r="A199" t="s">
        <v>162</v>
      </c>
      <c r="E199">
        <v>0</v>
      </c>
    </row>
    <row r="200" spans="1:5" x14ac:dyDescent="0.2">
      <c r="A200" t="s">
        <v>163</v>
      </c>
      <c r="E200" t="s">
        <v>77</v>
      </c>
    </row>
    <row r="202" spans="1:5" x14ac:dyDescent="0.2">
      <c r="A202" t="s">
        <v>135</v>
      </c>
      <c r="E202" t="s">
        <v>164</v>
      </c>
    </row>
    <row r="203" spans="1:5" x14ac:dyDescent="0.2">
      <c r="A203" t="s">
        <v>137</v>
      </c>
      <c r="E203" t="s">
        <v>165</v>
      </c>
    </row>
    <row r="204" spans="1:5" x14ac:dyDescent="0.2">
      <c r="A204" t="s">
        <v>139</v>
      </c>
      <c r="E204" t="s">
        <v>166</v>
      </c>
    </row>
    <row r="206" spans="1:5" x14ac:dyDescent="0.2">
      <c r="A206" t="s">
        <v>135</v>
      </c>
      <c r="E206" t="s">
        <v>167</v>
      </c>
    </row>
    <row r="207" spans="1:5" x14ac:dyDescent="0.2">
      <c r="A207" t="s">
        <v>137</v>
      </c>
      <c r="E207" t="s">
        <v>168</v>
      </c>
    </row>
    <row r="208" spans="1:5" x14ac:dyDescent="0.2">
      <c r="A208" t="s">
        <v>139</v>
      </c>
      <c r="E208" t="s">
        <v>169</v>
      </c>
    </row>
    <row r="210" spans="1:5" x14ac:dyDescent="0.2">
      <c r="A210" t="s">
        <v>135</v>
      </c>
      <c r="E210" t="s">
        <v>170</v>
      </c>
    </row>
    <row r="211" spans="1:5" x14ac:dyDescent="0.2">
      <c r="A211" t="s">
        <v>137</v>
      </c>
      <c r="E211" t="s">
        <v>168</v>
      </c>
    </row>
    <row r="212" spans="1:5" x14ac:dyDescent="0.2">
      <c r="A212" t="s">
        <v>139</v>
      </c>
      <c r="E212" t="s">
        <v>171</v>
      </c>
    </row>
    <row r="214" spans="1:5" x14ac:dyDescent="0.2">
      <c r="A214" t="s">
        <v>172</v>
      </c>
    </row>
    <row r="215" spans="1:5" x14ac:dyDescent="0.2">
      <c r="A215" t="s">
        <v>173</v>
      </c>
      <c r="E215" t="s">
        <v>174</v>
      </c>
    </row>
    <row r="216" spans="1:5" x14ac:dyDescent="0.2">
      <c r="A216" t="s">
        <v>175</v>
      </c>
      <c r="E216" t="s">
        <v>40</v>
      </c>
    </row>
    <row r="217" spans="1:5" x14ac:dyDescent="0.2">
      <c r="A217" t="s">
        <v>176</v>
      </c>
      <c r="E217" t="s">
        <v>177</v>
      </c>
    </row>
    <row r="218" spans="1:5" x14ac:dyDescent="0.2">
      <c r="A218" t="s">
        <v>178</v>
      </c>
      <c r="E218" t="s">
        <v>40</v>
      </c>
    </row>
    <row r="219" spans="1:5" x14ac:dyDescent="0.2">
      <c r="A219" t="s">
        <v>179</v>
      </c>
      <c r="E219" t="s">
        <v>180</v>
      </c>
    </row>
    <row r="220" spans="1:5" x14ac:dyDescent="0.2">
      <c r="A220" t="s">
        <v>181</v>
      </c>
      <c r="E220" t="s">
        <v>182</v>
      </c>
    </row>
    <row r="221" spans="1:5" x14ac:dyDescent="0.2">
      <c r="A221" t="s">
        <v>183</v>
      </c>
      <c r="E221" t="s">
        <v>184</v>
      </c>
    </row>
    <row r="223" spans="1:5" x14ac:dyDescent="0.2">
      <c r="A223" t="s">
        <v>185</v>
      </c>
    </row>
    <row r="224" spans="1:5" x14ac:dyDescent="0.2">
      <c r="A224" t="s">
        <v>186</v>
      </c>
    </row>
    <row r="225" spans="1:5" x14ac:dyDescent="0.2">
      <c r="A225" t="s">
        <v>187</v>
      </c>
    </row>
    <row r="226" spans="1:5" x14ac:dyDescent="0.2">
      <c r="A226" t="s">
        <v>188</v>
      </c>
      <c r="E226" t="s">
        <v>23</v>
      </c>
    </row>
    <row r="227" spans="1:5" x14ac:dyDescent="0.2">
      <c r="A227" t="s">
        <v>189</v>
      </c>
      <c r="E227" t="s">
        <v>190</v>
      </c>
    </row>
    <row r="229" spans="1:5" x14ac:dyDescent="0.2">
      <c r="A229" t="s">
        <v>191</v>
      </c>
    </row>
    <row r="230" spans="1:5" x14ac:dyDescent="0.2">
      <c r="A230" t="s">
        <v>192</v>
      </c>
      <c r="E230" t="s">
        <v>23</v>
      </c>
    </row>
    <row r="231" spans="1:5" x14ac:dyDescent="0.2">
      <c r="A231" t="s">
        <v>193</v>
      </c>
      <c r="E231" t="s">
        <v>11</v>
      </c>
    </row>
    <row r="232" spans="1:5" x14ac:dyDescent="0.2">
      <c r="A232" t="s">
        <v>194</v>
      </c>
      <c r="E232" t="s">
        <v>195</v>
      </c>
    </row>
    <row r="233" spans="1:5" x14ac:dyDescent="0.2">
      <c r="A233" t="s">
        <v>196</v>
      </c>
      <c r="E233" t="s">
        <v>197</v>
      </c>
    </row>
    <row r="234" spans="1:5" x14ac:dyDescent="0.2">
      <c r="A234" t="s">
        <v>198</v>
      </c>
      <c r="E234">
        <v>10</v>
      </c>
    </row>
    <row r="235" spans="1:5" x14ac:dyDescent="0.2">
      <c r="A235" t="s">
        <v>199</v>
      </c>
      <c r="E235">
        <v>9</v>
      </c>
    </row>
    <row r="236" spans="1:5" x14ac:dyDescent="0.2">
      <c r="A236" t="s">
        <v>200</v>
      </c>
      <c r="E236" s="3">
        <v>1</v>
      </c>
    </row>
    <row r="237" spans="1:5" x14ac:dyDescent="0.2">
      <c r="A237" t="s">
        <v>201</v>
      </c>
      <c r="E237" s="3">
        <v>1</v>
      </c>
    </row>
    <row r="238" spans="1:5" x14ac:dyDescent="0.2">
      <c r="A238" t="s">
        <v>202</v>
      </c>
      <c r="E238" s="3">
        <v>1</v>
      </c>
    </row>
    <row r="239" spans="1:5" x14ac:dyDescent="0.2">
      <c r="A239" t="s">
        <v>203</v>
      </c>
      <c r="E239">
        <v>1</v>
      </c>
    </row>
    <row r="240" spans="1:5" x14ac:dyDescent="0.2">
      <c r="A240" t="s">
        <v>204</v>
      </c>
      <c r="E240">
        <v>63507</v>
      </c>
    </row>
    <row r="241" spans="1:5" x14ac:dyDescent="0.2">
      <c r="A241" t="s">
        <v>205</v>
      </c>
      <c r="E241" s="1">
        <v>44216.505347222221</v>
      </c>
    </row>
    <row r="242" spans="1:5" x14ac:dyDescent="0.2">
      <c r="A242" t="s">
        <v>206</v>
      </c>
      <c r="E242" t="s">
        <v>207</v>
      </c>
    </row>
    <row r="243" spans="1:5" x14ac:dyDescent="0.2">
      <c r="A243" t="s">
        <v>208</v>
      </c>
      <c r="E243" t="s">
        <v>40</v>
      </c>
    </row>
    <row r="245" spans="1:5" x14ac:dyDescent="0.2">
      <c r="A245" t="s">
        <v>209</v>
      </c>
    </row>
    <row r="246" spans="1:5" x14ac:dyDescent="0.2">
      <c r="A246" t="s">
        <v>210</v>
      </c>
      <c r="E246">
        <v>140</v>
      </c>
    </row>
    <row r="247" spans="1:5" x14ac:dyDescent="0.2">
      <c r="A247" t="s">
        <v>211</v>
      </c>
      <c r="E247" t="s">
        <v>152</v>
      </c>
    </row>
    <row r="248" spans="1:5" x14ac:dyDescent="0.2">
      <c r="A248" t="s">
        <v>212</v>
      </c>
      <c r="E248" t="s">
        <v>213</v>
      </c>
    </row>
    <row r="249" spans="1:5" x14ac:dyDescent="0.2">
      <c r="A249" t="s">
        <v>214</v>
      </c>
    </row>
    <row r="250" spans="1:5" x14ac:dyDescent="0.2">
      <c r="A250" t="s">
        <v>205</v>
      </c>
      <c r="E250" s="4">
        <v>40544</v>
      </c>
    </row>
    <row r="251" spans="1:5" x14ac:dyDescent="0.2">
      <c r="A251" t="s">
        <v>206</v>
      </c>
      <c r="E251" t="s">
        <v>215</v>
      </c>
    </row>
    <row r="252" spans="1:5" x14ac:dyDescent="0.2">
      <c r="A252" t="s">
        <v>208</v>
      </c>
      <c r="E252" t="s">
        <v>177</v>
      </c>
    </row>
    <row r="254" spans="1:5" x14ac:dyDescent="0.2">
      <c r="A254" t="s">
        <v>216</v>
      </c>
      <c r="E254">
        <v>141</v>
      </c>
    </row>
    <row r="255" spans="1:5" x14ac:dyDescent="0.2">
      <c r="A255" t="s">
        <v>211</v>
      </c>
      <c r="E255" t="s">
        <v>152</v>
      </c>
    </row>
    <row r="256" spans="1:5" x14ac:dyDescent="0.2">
      <c r="A256" t="s">
        <v>212</v>
      </c>
      <c r="E256" t="s">
        <v>217</v>
      </c>
    </row>
    <row r="257" spans="1:5" x14ac:dyDescent="0.2">
      <c r="A257" t="s">
        <v>214</v>
      </c>
    </row>
    <row r="258" spans="1:5" x14ac:dyDescent="0.2">
      <c r="A258" t="s">
        <v>205</v>
      </c>
      <c r="E258" s="4">
        <v>40544</v>
      </c>
    </row>
    <row r="259" spans="1:5" x14ac:dyDescent="0.2">
      <c r="A259" t="s">
        <v>206</v>
      </c>
      <c r="E259" t="s">
        <v>215</v>
      </c>
    </row>
    <row r="260" spans="1:5" x14ac:dyDescent="0.2">
      <c r="A260" t="s">
        <v>208</v>
      </c>
      <c r="E260" t="s">
        <v>177</v>
      </c>
    </row>
    <row r="262" spans="1:5" x14ac:dyDescent="0.2">
      <c r="A262" t="s">
        <v>218</v>
      </c>
      <c r="E262">
        <v>142</v>
      </c>
    </row>
    <row r="263" spans="1:5" x14ac:dyDescent="0.2">
      <c r="A263" t="s">
        <v>211</v>
      </c>
      <c r="E263" t="s">
        <v>152</v>
      </c>
    </row>
    <row r="264" spans="1:5" x14ac:dyDescent="0.2">
      <c r="A264" t="s">
        <v>212</v>
      </c>
      <c r="E264" t="s">
        <v>219</v>
      </c>
    </row>
    <row r="265" spans="1:5" x14ac:dyDescent="0.2">
      <c r="A265" t="s">
        <v>214</v>
      </c>
    </row>
    <row r="266" spans="1:5" x14ac:dyDescent="0.2">
      <c r="A266" t="s">
        <v>205</v>
      </c>
      <c r="E266" s="4">
        <v>40544</v>
      </c>
    </row>
    <row r="267" spans="1:5" x14ac:dyDescent="0.2">
      <c r="A267" t="s">
        <v>206</v>
      </c>
      <c r="E267" t="s">
        <v>215</v>
      </c>
    </row>
    <row r="268" spans="1:5" x14ac:dyDescent="0.2">
      <c r="A268" t="s">
        <v>208</v>
      </c>
      <c r="E268" t="s">
        <v>177</v>
      </c>
    </row>
    <row r="270" spans="1:5" x14ac:dyDescent="0.2">
      <c r="A270" t="s">
        <v>220</v>
      </c>
    </row>
    <row r="271" spans="1:5" x14ac:dyDescent="0.2">
      <c r="A271" t="s">
        <v>221</v>
      </c>
      <c r="E271">
        <v>23000584</v>
      </c>
    </row>
    <row r="272" spans="1:5" x14ac:dyDescent="0.2">
      <c r="A272" t="s">
        <v>222</v>
      </c>
      <c r="E272" t="s">
        <v>207</v>
      </c>
    </row>
    <row r="277" spans="1:1" x14ac:dyDescent="0.2">
      <c r="A277" t="s">
        <v>223</v>
      </c>
    </row>
    <row r="278" spans="1:1" x14ac:dyDescent="0.2">
      <c r="A278" t="s">
        <v>224</v>
      </c>
    </row>
    <row r="279" spans="1:1" x14ac:dyDescent="0.2">
      <c r="A279" t="s">
        <v>225</v>
      </c>
    </row>
    <row r="280" spans="1:1" x14ac:dyDescent="0.2">
      <c r="A280" t="s">
        <v>226</v>
      </c>
    </row>
    <row r="281" spans="1:1" x14ac:dyDescent="0.2">
      <c r="A281" t="s">
        <v>227</v>
      </c>
    </row>
    <row r="282" spans="1:1" x14ac:dyDescent="0.2">
      <c r="A282" t="s">
        <v>228</v>
      </c>
    </row>
    <row r="285" spans="1:1" x14ac:dyDescent="0.2">
      <c r="A285" t="s">
        <v>229</v>
      </c>
    </row>
    <row r="287" spans="1:1" x14ac:dyDescent="0.2">
      <c r="A287" t="s">
        <v>230</v>
      </c>
    </row>
    <row r="291" spans="1:1" x14ac:dyDescent="0.2">
      <c r="A291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abSelected="1" topLeftCell="A4" workbookViewId="0">
      <selection activeCell="F31" sqref="F31:F33"/>
    </sheetView>
  </sheetViews>
  <sheetFormatPr baseColWidth="10" defaultRowHeight="16" x14ac:dyDescent="0.2"/>
  <sheetData>
    <row r="1" spans="1:14" x14ac:dyDescent="0.2">
      <c r="C1" t="s">
        <v>44</v>
      </c>
    </row>
    <row r="2" spans="1:14" x14ac:dyDescent="0.2">
      <c r="D2">
        <v>1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4" x14ac:dyDescent="0.2">
      <c r="C3" t="s">
        <v>22</v>
      </c>
      <c r="D3">
        <v>2007.2768936499999</v>
      </c>
      <c r="M3">
        <v>-783.48464096999999</v>
      </c>
      <c r="N3">
        <v>-783.48464096999999</v>
      </c>
    </row>
    <row r="4" spans="1:14" x14ac:dyDescent="0.2">
      <c r="C4" t="s">
        <v>23</v>
      </c>
      <c r="D4">
        <v>1477.01896289</v>
      </c>
      <c r="M4">
        <v>-783.48464096999999</v>
      </c>
      <c r="N4">
        <v>-783.48464096999999</v>
      </c>
    </row>
    <row r="5" spans="1:14" x14ac:dyDescent="0.2">
      <c r="C5" t="s">
        <v>24</v>
      </c>
      <c r="D5">
        <v>1009.61835523</v>
      </c>
      <c r="K5">
        <v>-783.48464096999999</v>
      </c>
      <c r="L5">
        <v>-783.48464096999999</v>
      </c>
      <c r="M5">
        <v>-783.48464096999999</v>
      </c>
      <c r="N5">
        <v>-783.48464096999999</v>
      </c>
    </row>
    <row r="6" spans="1:14" x14ac:dyDescent="0.2">
      <c r="C6" t="s">
        <v>25</v>
      </c>
      <c r="D6">
        <v>751.74215790200003</v>
      </c>
      <c r="K6">
        <v>-783.48464096999999</v>
      </c>
      <c r="L6">
        <v>-783.48464096999999</v>
      </c>
      <c r="M6">
        <v>-783.48464096999999</v>
      </c>
      <c r="N6">
        <v>-783.48464096999999</v>
      </c>
    </row>
    <row r="7" spans="1:14" x14ac:dyDescent="0.2">
      <c r="C7" t="s">
        <v>26</v>
      </c>
      <c r="D7">
        <v>526.90634835699996</v>
      </c>
      <c r="K7">
        <v>-783.48464096999999</v>
      </c>
      <c r="L7">
        <v>-783.48464096999999</v>
      </c>
      <c r="M7">
        <v>-783.48464096999999</v>
      </c>
      <c r="N7">
        <v>-783.48464096999999</v>
      </c>
    </row>
    <row r="8" spans="1:14" x14ac:dyDescent="0.2">
      <c r="C8" t="s">
        <v>27</v>
      </c>
      <c r="D8">
        <v>234.37803701199999</v>
      </c>
      <c r="K8">
        <v>-783.48464096999999</v>
      </c>
      <c r="L8">
        <v>-783.48464096999999</v>
      </c>
      <c r="M8">
        <v>-783.48464096999999</v>
      </c>
      <c r="N8">
        <v>-783.48464096999999</v>
      </c>
    </row>
    <row r="9" spans="1:14" x14ac:dyDescent="0.2">
      <c r="C9" t="s">
        <v>28</v>
      </c>
      <c r="D9">
        <v>120.751337564</v>
      </c>
      <c r="K9">
        <v>-783.48464096999999</v>
      </c>
      <c r="L9">
        <v>-783.48464096999999</v>
      </c>
      <c r="M9">
        <v>-783.48464096999999</v>
      </c>
      <c r="N9">
        <v>-783.48464096999999</v>
      </c>
    </row>
    <row r="10" spans="1:14" x14ac:dyDescent="0.2">
      <c r="C10" t="s">
        <v>29</v>
      </c>
      <c r="D10">
        <v>24.047763565699999</v>
      </c>
      <c r="K10">
        <v>-783.48464096999999</v>
      </c>
      <c r="L10">
        <v>-783.48464096999999</v>
      </c>
      <c r="M10">
        <v>-783.48464096999999</v>
      </c>
      <c r="N10">
        <v>-783.48464096999999</v>
      </c>
    </row>
    <row r="11" spans="1:14" x14ac:dyDescent="0.2">
      <c r="C11" t="s">
        <v>232</v>
      </c>
      <c r="D11">
        <v>-1.7398561670999999</v>
      </c>
    </row>
    <row r="12" spans="1:14" x14ac:dyDescent="0.2">
      <c r="C12" t="s">
        <v>233</v>
      </c>
      <c r="D12">
        <v>-20.274707849999999</v>
      </c>
      <c r="E12" t="s">
        <v>258</v>
      </c>
      <c r="F12" t="s">
        <v>259</v>
      </c>
      <c r="G12" t="s">
        <v>260</v>
      </c>
    </row>
    <row r="13" spans="1:14" x14ac:dyDescent="0.2">
      <c r="A13" t="s">
        <v>235</v>
      </c>
      <c r="B13" t="s">
        <v>234</v>
      </c>
      <c r="C13" t="s">
        <v>234</v>
      </c>
      <c r="D13">
        <v>565.58777795599997</v>
      </c>
      <c r="E13" s="5">
        <f>D13*(10/4)</f>
        <v>1413.96944489</v>
      </c>
      <c r="F13" s="5">
        <f>E13/1000</f>
        <v>1.41396944489</v>
      </c>
      <c r="G13" s="5">
        <f>7.5/F13</f>
        <v>5.3042164575087147</v>
      </c>
    </row>
    <row r="14" spans="1:14" x14ac:dyDescent="0.2">
      <c r="A14" t="s">
        <v>235</v>
      </c>
      <c r="B14" t="s">
        <v>235</v>
      </c>
      <c r="C14" t="s">
        <v>235</v>
      </c>
      <c r="D14">
        <v>588.95780833900005</v>
      </c>
      <c r="E14" s="5">
        <f t="shared" ref="E14:E36" si="0">D14*(10/4)</f>
        <v>1472.3945208475002</v>
      </c>
      <c r="F14" s="5">
        <f t="shared" ref="F14:F36" si="1">E14/1000</f>
        <v>1.4723945208475002</v>
      </c>
      <c r="G14" s="5">
        <f t="shared" ref="G14:G36" si="2">7.5/F14</f>
        <v>5.0937434864149393</v>
      </c>
    </row>
    <row r="15" spans="1:14" x14ac:dyDescent="0.2">
      <c r="A15" t="s">
        <v>235</v>
      </c>
      <c r="B15" t="s">
        <v>236</v>
      </c>
      <c r="C15" t="s">
        <v>236</v>
      </c>
      <c r="D15">
        <v>588.95780833900005</v>
      </c>
      <c r="E15" s="5">
        <f t="shared" si="0"/>
        <v>1472.3945208475002</v>
      </c>
      <c r="F15" s="5">
        <f t="shared" si="1"/>
        <v>1.4723945208475002</v>
      </c>
      <c r="G15" s="5">
        <f t="shared" si="2"/>
        <v>5.0937434864149393</v>
      </c>
    </row>
    <row r="16" spans="1:14" x14ac:dyDescent="0.2">
      <c r="A16" t="s">
        <v>235</v>
      </c>
      <c r="B16" t="s">
        <v>237</v>
      </c>
      <c r="C16" t="s">
        <v>237</v>
      </c>
      <c r="D16">
        <v>247.27184687799999</v>
      </c>
      <c r="E16" s="5">
        <f t="shared" si="0"/>
        <v>618.17961719499999</v>
      </c>
      <c r="F16" s="5">
        <f t="shared" si="1"/>
        <v>0.61817961719500003</v>
      </c>
      <c r="G16" s="5">
        <f t="shared" si="2"/>
        <v>12.132396137600542</v>
      </c>
    </row>
    <row r="17" spans="1:9" x14ac:dyDescent="0.2">
      <c r="A17" t="s">
        <v>235</v>
      </c>
      <c r="B17" t="s">
        <v>238</v>
      </c>
      <c r="C17" t="s">
        <v>238</v>
      </c>
      <c r="D17">
        <v>430.202774358</v>
      </c>
      <c r="E17" s="5">
        <f t="shared" si="0"/>
        <v>1075.506935895</v>
      </c>
      <c r="F17" s="5">
        <f t="shared" si="1"/>
        <v>1.075506935895</v>
      </c>
      <c r="G17" s="5">
        <f t="shared" si="2"/>
        <v>6.973455725563273</v>
      </c>
    </row>
    <row r="18" spans="1:9" x14ac:dyDescent="0.2">
      <c r="A18" t="s">
        <v>235</v>
      </c>
      <c r="B18" t="s">
        <v>239</v>
      </c>
      <c r="C18" t="s">
        <v>239</v>
      </c>
      <c r="D18">
        <v>458.407983441</v>
      </c>
      <c r="E18" s="5">
        <f t="shared" si="0"/>
        <v>1146.0199586025001</v>
      </c>
      <c r="F18" s="5">
        <f t="shared" si="1"/>
        <v>1.1460199586025002</v>
      </c>
      <c r="G18" s="5">
        <f t="shared" si="2"/>
        <v>6.5443886414908361</v>
      </c>
    </row>
    <row r="19" spans="1:9" x14ac:dyDescent="0.2">
      <c r="A19" t="s">
        <v>261</v>
      </c>
      <c r="B19" t="s">
        <v>234</v>
      </c>
      <c r="C19" t="s">
        <v>240</v>
      </c>
      <c r="D19">
        <v>407.63860709199997</v>
      </c>
      <c r="E19" s="5">
        <f t="shared" si="0"/>
        <v>1019.09651773</v>
      </c>
      <c r="F19" s="5">
        <f t="shared" si="1"/>
        <v>1.01909651773</v>
      </c>
      <c r="G19" s="5">
        <f t="shared" si="2"/>
        <v>7.3594599427206111</v>
      </c>
    </row>
    <row r="20" spans="1:9" x14ac:dyDescent="0.2">
      <c r="A20" t="s">
        <v>261</v>
      </c>
      <c r="B20" t="s">
        <v>235</v>
      </c>
      <c r="C20" t="s">
        <v>241</v>
      </c>
      <c r="D20">
        <v>544.63533692299995</v>
      </c>
      <c r="E20" s="5">
        <f t="shared" si="0"/>
        <v>1361.5883423074999</v>
      </c>
      <c r="F20" s="5">
        <f t="shared" si="1"/>
        <v>1.3615883423074999</v>
      </c>
      <c r="G20" s="5">
        <f t="shared" si="2"/>
        <v>5.5082727774311442</v>
      </c>
    </row>
    <row r="21" spans="1:9" x14ac:dyDescent="0.2">
      <c r="A21" t="s">
        <v>261</v>
      </c>
      <c r="B21" t="s">
        <v>236</v>
      </c>
      <c r="C21" t="s">
        <v>242</v>
      </c>
      <c r="D21">
        <v>388.29789229199997</v>
      </c>
      <c r="E21" s="5">
        <f t="shared" si="0"/>
        <v>970.7447307299999</v>
      </c>
      <c r="F21" s="5">
        <f t="shared" si="1"/>
        <v>0.97074473072999989</v>
      </c>
      <c r="G21" s="5">
        <f t="shared" si="2"/>
        <v>7.7260270002804967</v>
      </c>
    </row>
    <row r="22" spans="1:9" x14ac:dyDescent="0.2">
      <c r="A22" t="s">
        <v>261</v>
      </c>
      <c r="B22" t="s">
        <v>237</v>
      </c>
      <c r="C22" t="s">
        <v>243</v>
      </c>
      <c r="D22">
        <v>433.42622682500001</v>
      </c>
      <c r="E22" s="5">
        <f t="shared" si="0"/>
        <v>1083.5655670625001</v>
      </c>
      <c r="F22" s="5">
        <f t="shared" si="1"/>
        <v>1.0835655670625002</v>
      </c>
      <c r="G22" s="5">
        <f t="shared" si="2"/>
        <v>6.9215931439499121</v>
      </c>
    </row>
    <row r="23" spans="1:9" x14ac:dyDescent="0.2">
      <c r="A23" t="s">
        <v>261</v>
      </c>
      <c r="B23" t="s">
        <v>238</v>
      </c>
      <c r="C23" t="s">
        <v>244</v>
      </c>
      <c r="D23">
        <v>381.85098735899999</v>
      </c>
      <c r="E23" s="5">
        <f t="shared" si="0"/>
        <v>954.62746839750002</v>
      </c>
      <c r="F23" s="5">
        <f t="shared" si="1"/>
        <v>0.95462746839750001</v>
      </c>
      <c r="G23" s="5">
        <f t="shared" si="2"/>
        <v>7.8564678351336248</v>
      </c>
    </row>
    <row r="24" spans="1:9" x14ac:dyDescent="0.2">
      <c r="A24" t="s">
        <v>261</v>
      </c>
      <c r="B24" t="s">
        <v>239</v>
      </c>
      <c r="C24" t="s">
        <v>245</v>
      </c>
      <c r="D24">
        <v>176.35589261300001</v>
      </c>
      <c r="E24" s="5">
        <f t="shared" si="0"/>
        <v>440.88973153250004</v>
      </c>
      <c r="F24" s="5">
        <f t="shared" si="1"/>
        <v>0.44088973153250005</v>
      </c>
      <c r="G24" s="5">
        <f t="shared" si="2"/>
        <v>17.011056197499894</v>
      </c>
    </row>
    <row r="25" spans="1:9" x14ac:dyDescent="0.2">
      <c r="A25" s="6" t="s">
        <v>262</v>
      </c>
      <c r="B25" t="s">
        <v>234</v>
      </c>
      <c r="C25" s="6" t="s">
        <v>246</v>
      </c>
      <c r="D25" s="6">
        <v>62.729193164999998</v>
      </c>
      <c r="E25" s="7">
        <f t="shared" si="0"/>
        <v>156.82298291249998</v>
      </c>
      <c r="F25" s="7">
        <f t="shared" si="1"/>
        <v>0.15682298291249999</v>
      </c>
      <c r="G25" s="7">
        <f t="shared" si="2"/>
        <v>47.824622773465897</v>
      </c>
    </row>
    <row r="26" spans="1:9" x14ac:dyDescent="0.2">
      <c r="A26" s="6" t="s">
        <v>262</v>
      </c>
      <c r="B26" t="s">
        <v>235</v>
      </c>
      <c r="C26" s="6" t="s">
        <v>247</v>
      </c>
      <c r="D26" s="6">
        <v>86.099223547899996</v>
      </c>
      <c r="E26" s="7">
        <f t="shared" si="0"/>
        <v>215.24805886975</v>
      </c>
      <c r="F26" s="7">
        <f t="shared" si="1"/>
        <v>0.21524805886974999</v>
      </c>
      <c r="G26" s="7">
        <f t="shared" si="2"/>
        <v>34.84351979470518</v>
      </c>
    </row>
    <row r="27" spans="1:9" x14ac:dyDescent="0.2">
      <c r="A27" s="6" t="s">
        <v>262</v>
      </c>
      <c r="B27" t="s">
        <v>236</v>
      </c>
      <c r="C27" s="6" t="s">
        <v>248</v>
      </c>
      <c r="D27" s="6">
        <v>101.410622764</v>
      </c>
      <c r="E27" s="7">
        <f t="shared" si="0"/>
        <v>253.52655690999998</v>
      </c>
      <c r="F27" s="7">
        <f t="shared" si="1"/>
        <v>0.25352655690999998</v>
      </c>
      <c r="G27" s="7">
        <f t="shared" si="2"/>
        <v>29.582699703772821</v>
      </c>
      <c r="I27" t="s">
        <v>264</v>
      </c>
    </row>
    <row r="28" spans="1:9" x14ac:dyDescent="0.2">
      <c r="A28" s="6" t="s">
        <v>262</v>
      </c>
      <c r="B28" t="s">
        <v>237</v>
      </c>
      <c r="C28" s="6" t="s">
        <v>249</v>
      </c>
      <c r="D28" s="6">
        <v>73.205413681500005</v>
      </c>
      <c r="E28" s="7">
        <f t="shared" si="0"/>
        <v>183.01353420375</v>
      </c>
      <c r="F28" s="7">
        <f t="shared" si="1"/>
        <v>0.18301353420374999</v>
      </c>
      <c r="G28" s="7">
        <f t="shared" si="2"/>
        <v>40.980575740645541</v>
      </c>
    </row>
    <row r="29" spans="1:9" x14ac:dyDescent="0.2">
      <c r="A29" s="6" t="s">
        <v>262</v>
      </c>
      <c r="B29" t="s">
        <v>238</v>
      </c>
      <c r="C29" s="6" t="s">
        <v>250</v>
      </c>
      <c r="D29" s="6">
        <v>124.780653147</v>
      </c>
      <c r="E29" s="7">
        <f t="shared" si="0"/>
        <v>311.9516328675</v>
      </c>
      <c r="F29" s="7">
        <f t="shared" si="1"/>
        <v>0.31195163286749999</v>
      </c>
      <c r="G29" s="7">
        <f t="shared" si="2"/>
        <v>24.042188627317074</v>
      </c>
    </row>
    <row r="30" spans="1:9" x14ac:dyDescent="0.2">
      <c r="A30" s="6" t="s">
        <v>262</v>
      </c>
      <c r="B30" t="s">
        <v>239</v>
      </c>
      <c r="C30" s="6" t="s">
        <v>251</v>
      </c>
      <c r="D30" s="6">
        <v>32.912257848899998</v>
      </c>
      <c r="E30" s="7">
        <f t="shared" si="0"/>
        <v>82.280644622249994</v>
      </c>
      <c r="F30" s="7">
        <f t="shared" si="1"/>
        <v>8.2280644622249988E-2</v>
      </c>
      <c r="G30" s="7">
        <f t="shared" si="2"/>
        <v>91.15144921910202</v>
      </c>
    </row>
    <row r="31" spans="1:9" x14ac:dyDescent="0.2">
      <c r="A31" t="s">
        <v>263</v>
      </c>
      <c r="B31" t="s">
        <v>234</v>
      </c>
      <c r="C31" t="s">
        <v>252</v>
      </c>
      <c r="D31">
        <v>211.81386974599999</v>
      </c>
      <c r="E31" s="5">
        <f t="shared" si="0"/>
        <v>529.534674365</v>
      </c>
      <c r="F31" s="5">
        <f t="shared" si="1"/>
        <v>0.52953467436500001</v>
      </c>
      <c r="G31" s="5">
        <f t="shared" si="2"/>
        <v>14.16337845863209</v>
      </c>
    </row>
    <row r="32" spans="1:9" x14ac:dyDescent="0.2">
      <c r="A32" t="s">
        <v>263</v>
      </c>
      <c r="B32" t="s">
        <v>235</v>
      </c>
      <c r="C32" t="s">
        <v>253</v>
      </c>
      <c r="D32">
        <v>285.95327647800002</v>
      </c>
      <c r="E32" s="5">
        <f t="shared" si="0"/>
        <v>714.88319119500011</v>
      </c>
      <c r="F32" s="5">
        <f t="shared" si="1"/>
        <v>0.7148831911950001</v>
      </c>
      <c r="G32" s="5">
        <f t="shared" si="2"/>
        <v>10.491224429914187</v>
      </c>
    </row>
    <row r="33" spans="1:9" x14ac:dyDescent="0.2">
      <c r="A33" t="s">
        <v>263</v>
      </c>
      <c r="B33" t="s">
        <v>236</v>
      </c>
      <c r="C33" t="s">
        <v>254</v>
      </c>
      <c r="D33">
        <v>233.57217389499999</v>
      </c>
      <c r="E33" s="5">
        <f t="shared" si="0"/>
        <v>583.93043473750004</v>
      </c>
      <c r="F33" s="5">
        <f t="shared" si="1"/>
        <v>0.58393043473750006</v>
      </c>
      <c r="G33" s="5">
        <f t="shared" si="2"/>
        <v>12.8439957122145</v>
      </c>
    </row>
    <row r="34" spans="1:9" x14ac:dyDescent="0.2">
      <c r="A34" t="s">
        <v>263</v>
      </c>
      <c r="B34" t="s">
        <v>237</v>
      </c>
      <c r="C34" t="s">
        <v>255</v>
      </c>
      <c r="D34">
        <v>214.23145909600001</v>
      </c>
      <c r="E34" s="5">
        <f t="shared" si="0"/>
        <v>535.57864774000006</v>
      </c>
      <c r="F34" s="5">
        <f t="shared" si="1"/>
        <v>0.53557864774000008</v>
      </c>
      <c r="G34" s="5">
        <f t="shared" si="2"/>
        <v>14.003545570100698</v>
      </c>
    </row>
    <row r="35" spans="1:9" x14ac:dyDescent="0.2">
      <c r="A35" t="s">
        <v>263</v>
      </c>
      <c r="B35" t="s">
        <v>238</v>
      </c>
      <c r="C35" t="s">
        <v>256</v>
      </c>
      <c r="D35">
        <v>243.24253129499999</v>
      </c>
      <c r="E35" s="5">
        <f t="shared" si="0"/>
        <v>608.10632823749995</v>
      </c>
      <c r="F35" s="5">
        <f t="shared" si="1"/>
        <v>0.60810632823749999</v>
      </c>
      <c r="G35" s="5">
        <f t="shared" si="2"/>
        <v>12.333369431851768</v>
      </c>
    </row>
    <row r="36" spans="1:9" x14ac:dyDescent="0.2">
      <c r="A36" s="6" t="s">
        <v>263</v>
      </c>
      <c r="B36" t="s">
        <v>239</v>
      </c>
      <c r="C36" s="6" t="s">
        <v>257</v>
      </c>
      <c r="D36" s="6">
        <v>84.487497314600006</v>
      </c>
      <c r="E36" s="7">
        <f t="shared" si="0"/>
        <v>211.2187432865</v>
      </c>
      <c r="F36" s="7">
        <f t="shared" si="1"/>
        <v>0.2112187432865</v>
      </c>
      <c r="G36" s="7">
        <f t="shared" si="2"/>
        <v>35.508212402470818</v>
      </c>
      <c r="I3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01_20_21_SA_Plate_2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dcterms:created xsi:type="dcterms:W3CDTF">2021-01-20T20:31:05Z</dcterms:created>
  <dcterms:modified xsi:type="dcterms:W3CDTF">2021-01-29T21:21:03Z</dcterms:modified>
</cp:coreProperties>
</file>