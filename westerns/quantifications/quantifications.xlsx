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yal/Google Drive/psp/westerns/quantifications/"/>
    </mc:Choice>
  </mc:AlternateContent>
  <xr:revisionPtr revIDLastSave="0" documentId="13_ncr:1_{AE4E8DEB-A703-DD42-9182-9F1D14E69EE2}" xr6:coauthVersionLast="36" xr6:coauthVersionMax="36" xr10:uidLastSave="{00000000-0000-0000-0000-000000000000}"/>
  <bookViews>
    <workbookView xWindow="3520" yWindow="2800" windowWidth="27640" windowHeight="16940" xr2:uid="{13536AE3-F311-2849-88D8-1DC801AD38E2}"/>
  </bookViews>
  <sheets>
    <sheet name="Sheet1" sheetId="1" r:id="rId1"/>
    <sheet name="Actb_over_Fmrp" sheetId="5" r:id="rId2"/>
    <sheet name="Nono_bottom_over_Fmrp" sheetId="4" r:id="rId3"/>
    <sheet name="Nono_top_over_Fmrp" sheetId="3" r:id="rId4"/>
    <sheet name="Ncl_over_Fmrp" sheetId="2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" i="1"/>
  <c r="M23" i="1"/>
  <c r="M22" i="1"/>
  <c r="L22" i="1"/>
  <c r="M21" i="1"/>
  <c r="L23" i="1"/>
  <c r="L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J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</calcChain>
</file>

<file path=xl/sharedStrings.xml><?xml version="1.0" encoding="utf-8"?>
<sst xmlns="http://schemas.openxmlformats.org/spreadsheetml/2006/main" count="109" uniqueCount="16">
  <si>
    <t>Fmrp</t>
  </si>
  <si>
    <t>2020-11-16_17-07-45_8bit</t>
  </si>
  <si>
    <t>Ncl</t>
  </si>
  <si>
    <t>Ncl/Fmrp</t>
  </si>
  <si>
    <t>WT</t>
  </si>
  <si>
    <t>Het</t>
  </si>
  <si>
    <t>KO</t>
  </si>
  <si>
    <t>Normalized to WT average</t>
  </si>
  <si>
    <t>Genotype</t>
  </si>
  <si>
    <t>Nono top band</t>
  </si>
  <si>
    <t>Nono/Fmrp</t>
  </si>
  <si>
    <t>abundance</t>
  </si>
  <si>
    <t>genotype</t>
  </si>
  <si>
    <t>Nono bottom band</t>
  </si>
  <si>
    <t>Actb</t>
  </si>
  <si>
    <t>Actb/Fmrp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</si>
</sst>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0941-AA5C-B845-A083-69EA5CF5DC66}">
  <dimension ref="A1:AD23"/>
  <sheetViews>
    <sheetView tabSelected="1" workbookViewId="0">
      <selection activeCell="F27" sqref="F27"/>
    </sheetView>
  </sheetViews>
  <sheetFormatPr baseColWidth="10" defaultRowHeight="16" x14ac:dyDescent="0.2"/>
  <sheetData>
    <row r="1" spans="1:30" x14ac:dyDescent="0.2">
      <c r="B1" t="s">
        <v>0</v>
      </c>
      <c r="C1" t="s">
        <v>1</v>
      </c>
      <c r="F1" t="s">
        <v>2</v>
      </c>
      <c r="J1" t="s">
        <v>3</v>
      </c>
      <c r="K1" t="s">
        <v>7</v>
      </c>
      <c r="N1" t="s">
        <v>9</v>
      </c>
      <c r="R1" t="s">
        <v>10</v>
      </c>
      <c r="T1" t="s">
        <v>13</v>
      </c>
      <c r="X1" t="s">
        <v>10</v>
      </c>
      <c r="Z1" t="s">
        <v>14</v>
      </c>
      <c r="AD1" t="s">
        <v>15</v>
      </c>
    </row>
    <row r="2" spans="1:30" x14ac:dyDescent="0.2">
      <c r="A2" t="s">
        <v>4</v>
      </c>
      <c r="B2">
        <v>1</v>
      </c>
      <c r="C2">
        <v>3371.2130000000002</v>
      </c>
      <c r="D2">
        <v>5.5140000000000002</v>
      </c>
      <c r="F2">
        <v>1</v>
      </c>
      <c r="G2">
        <v>4053.3850000000002</v>
      </c>
      <c r="H2">
        <v>5.23</v>
      </c>
      <c r="J2">
        <f>G2/C2</f>
        <v>1.2023520910722638</v>
      </c>
      <c r="K2">
        <f>J2/$J$21</f>
        <v>1.021749769761374</v>
      </c>
      <c r="N2">
        <v>1</v>
      </c>
      <c r="O2">
        <v>625.91999999999996</v>
      </c>
      <c r="P2">
        <v>1.2350000000000001</v>
      </c>
      <c r="R2">
        <f>O2/C2</f>
        <v>0.18566610890501428</v>
      </c>
      <c r="T2">
        <v>1</v>
      </c>
      <c r="U2">
        <v>962.28399999999999</v>
      </c>
      <c r="V2">
        <v>3.48</v>
      </c>
      <c r="X2">
        <f>U2/C2</f>
        <v>0.28544147166020062</v>
      </c>
      <c r="Z2">
        <v>1</v>
      </c>
      <c r="AA2">
        <v>4557.3850000000002</v>
      </c>
      <c r="AB2">
        <v>6.2990000000000004</v>
      </c>
      <c r="AD2">
        <f>AA2/C2</f>
        <v>1.3518531756967003</v>
      </c>
    </row>
    <row r="3" spans="1:30" x14ac:dyDescent="0.2">
      <c r="A3" t="s">
        <v>5</v>
      </c>
      <c r="B3">
        <v>2</v>
      </c>
      <c r="C3">
        <v>3648.2339999999999</v>
      </c>
      <c r="D3">
        <v>5.9669999999999996</v>
      </c>
      <c r="F3">
        <v>2</v>
      </c>
      <c r="G3">
        <v>4984.6270000000004</v>
      </c>
      <c r="H3">
        <v>6.4320000000000004</v>
      </c>
      <c r="J3">
        <f t="shared" ref="J3:J19" si="0">G3/C3</f>
        <v>1.366312303432291</v>
      </c>
      <c r="K3">
        <f t="shared" ref="K3:K19" si="1">J3/$J$21</f>
        <v>1.1610819258517611</v>
      </c>
      <c r="N3">
        <v>2</v>
      </c>
      <c r="O3">
        <v>1500.5060000000001</v>
      </c>
      <c r="P3">
        <v>2.9609999999999999</v>
      </c>
      <c r="R3">
        <f t="shared" ref="R3:R19" si="2">O3/C3</f>
        <v>0.41129653415871903</v>
      </c>
      <c r="T3">
        <v>2</v>
      </c>
      <c r="U3">
        <v>420.04199999999997</v>
      </c>
      <c r="V3">
        <v>1.5189999999999999</v>
      </c>
      <c r="X3">
        <f t="shared" ref="X3:X19" si="3">U3/C3</f>
        <v>0.11513570675565218</v>
      </c>
      <c r="Z3">
        <v>2</v>
      </c>
      <c r="AA3">
        <v>5001.0420000000004</v>
      </c>
      <c r="AB3">
        <v>6.9119999999999999</v>
      </c>
      <c r="AD3">
        <f t="shared" ref="AD3:AD19" si="4">AA3/C3</f>
        <v>1.3708117406942648</v>
      </c>
    </row>
    <row r="4" spans="1:30" x14ac:dyDescent="0.2">
      <c r="A4" t="s">
        <v>4</v>
      </c>
      <c r="B4">
        <v>3</v>
      </c>
      <c r="C4">
        <v>5215.1130000000003</v>
      </c>
      <c r="D4">
        <v>8.5299999999999994</v>
      </c>
      <c r="F4">
        <v>3</v>
      </c>
      <c r="G4">
        <v>3333.5059999999999</v>
      </c>
      <c r="H4">
        <v>4.3010000000000002</v>
      </c>
      <c r="J4">
        <f t="shared" si="0"/>
        <v>0.63920110647650386</v>
      </c>
      <c r="K4">
        <f t="shared" si="1"/>
        <v>0.54318829586027684</v>
      </c>
      <c r="N4">
        <v>3</v>
      </c>
      <c r="O4">
        <v>888.577</v>
      </c>
      <c r="P4">
        <v>1.7529999999999999</v>
      </c>
      <c r="R4">
        <f t="shared" si="2"/>
        <v>0.17038499453415487</v>
      </c>
      <c r="T4">
        <v>3</v>
      </c>
      <c r="U4">
        <v>1545.5060000000001</v>
      </c>
      <c r="V4">
        <v>5.5890000000000004</v>
      </c>
      <c r="X4">
        <f t="shared" si="3"/>
        <v>0.29635139257768722</v>
      </c>
      <c r="Z4">
        <v>3</v>
      </c>
      <c r="AA4">
        <v>3659.0419999999999</v>
      </c>
      <c r="AB4">
        <v>5.0570000000000004</v>
      </c>
      <c r="AD4">
        <f t="shared" si="4"/>
        <v>0.70162276445400118</v>
      </c>
    </row>
    <row r="5" spans="1:30" x14ac:dyDescent="0.2">
      <c r="A5" t="s">
        <v>5</v>
      </c>
      <c r="B5">
        <v>4</v>
      </c>
      <c r="C5">
        <v>5419.7489999999998</v>
      </c>
      <c r="D5">
        <v>8.8650000000000002</v>
      </c>
      <c r="F5">
        <v>4</v>
      </c>
      <c r="G5">
        <v>3953.2130000000002</v>
      </c>
      <c r="H5">
        <v>5.101</v>
      </c>
      <c r="J5">
        <f t="shared" si="0"/>
        <v>0.72940887114883002</v>
      </c>
      <c r="K5">
        <f t="shared" si="1"/>
        <v>0.61984617625073712</v>
      </c>
      <c r="N5">
        <v>4</v>
      </c>
      <c r="O5">
        <v>2632.82</v>
      </c>
      <c r="P5">
        <v>5.1950000000000003</v>
      </c>
      <c r="R5">
        <f t="shared" si="2"/>
        <v>0.48578264417780237</v>
      </c>
      <c r="T5">
        <v>4</v>
      </c>
      <c r="U5">
        <v>2973.2130000000002</v>
      </c>
      <c r="V5">
        <v>10.752000000000001</v>
      </c>
      <c r="X5">
        <f t="shared" si="3"/>
        <v>0.54858868925479765</v>
      </c>
      <c r="Z5">
        <v>4</v>
      </c>
      <c r="AA5">
        <v>4181.92</v>
      </c>
      <c r="AB5">
        <v>5.78</v>
      </c>
      <c r="AD5">
        <f t="shared" si="4"/>
        <v>0.771607688843155</v>
      </c>
    </row>
    <row r="6" spans="1:30" x14ac:dyDescent="0.2">
      <c r="A6" t="s">
        <v>4</v>
      </c>
      <c r="B6">
        <v>5</v>
      </c>
      <c r="C6">
        <v>4719.5060000000003</v>
      </c>
      <c r="D6">
        <v>7.72</v>
      </c>
      <c r="F6">
        <v>5</v>
      </c>
      <c r="G6">
        <v>4695.335</v>
      </c>
      <c r="H6">
        <v>6.0590000000000002</v>
      </c>
      <c r="J6">
        <f t="shared" si="0"/>
        <v>0.99487848940122114</v>
      </c>
      <c r="K6">
        <f t="shared" si="1"/>
        <v>0.84544026249391413</v>
      </c>
      <c r="N6">
        <v>5</v>
      </c>
      <c r="O6">
        <v>1710.577</v>
      </c>
      <c r="P6">
        <v>3.375</v>
      </c>
      <c r="R6">
        <f t="shared" si="2"/>
        <v>0.36244831556523072</v>
      </c>
      <c r="T6">
        <v>5</v>
      </c>
      <c r="U6">
        <v>2358.2840000000001</v>
      </c>
      <c r="V6">
        <v>8.5280000000000005</v>
      </c>
      <c r="X6">
        <f t="shared" si="3"/>
        <v>0.49968873860950702</v>
      </c>
      <c r="Z6">
        <v>5</v>
      </c>
      <c r="AA6">
        <v>4457.335</v>
      </c>
      <c r="AB6">
        <v>6.1609999999999996</v>
      </c>
      <c r="AD6">
        <f t="shared" si="4"/>
        <v>0.94444948263653017</v>
      </c>
    </row>
    <row r="7" spans="1:30" x14ac:dyDescent="0.2">
      <c r="A7" t="s">
        <v>5</v>
      </c>
      <c r="B7">
        <v>6</v>
      </c>
      <c r="C7">
        <v>3431.2130000000002</v>
      </c>
      <c r="D7">
        <v>5.6120000000000001</v>
      </c>
      <c r="F7">
        <v>6</v>
      </c>
      <c r="G7">
        <v>5162.5060000000003</v>
      </c>
      <c r="H7">
        <v>6.6609999999999996</v>
      </c>
      <c r="J7">
        <f t="shared" si="0"/>
        <v>1.504571706857021</v>
      </c>
      <c r="K7">
        <f t="shared" si="1"/>
        <v>1.278573727683769</v>
      </c>
      <c r="N7">
        <v>6</v>
      </c>
      <c r="O7">
        <v>3143.335</v>
      </c>
      <c r="P7">
        <v>6.2030000000000003</v>
      </c>
      <c r="R7">
        <f t="shared" si="2"/>
        <v>0.91610022461444385</v>
      </c>
      <c r="T7">
        <v>6</v>
      </c>
      <c r="U7">
        <v>1219.163</v>
      </c>
      <c r="V7">
        <v>4.4089999999999998</v>
      </c>
      <c r="X7">
        <f t="shared" si="3"/>
        <v>0.35531545258192948</v>
      </c>
      <c r="Z7">
        <v>6</v>
      </c>
      <c r="AA7">
        <v>4526.5060000000003</v>
      </c>
      <c r="AB7">
        <v>6.2560000000000002</v>
      </c>
      <c r="AD7">
        <f t="shared" si="4"/>
        <v>1.3192145168487064</v>
      </c>
    </row>
    <row r="8" spans="1:30" x14ac:dyDescent="0.2">
      <c r="A8" t="s">
        <v>4</v>
      </c>
      <c r="B8">
        <v>7</v>
      </c>
      <c r="C8">
        <v>3228.5059999999999</v>
      </c>
      <c r="D8">
        <v>5.2809999999999997</v>
      </c>
      <c r="F8">
        <v>7</v>
      </c>
      <c r="G8">
        <v>5964.7489999999998</v>
      </c>
      <c r="H8">
        <v>7.6959999999999997</v>
      </c>
      <c r="J8">
        <f t="shared" si="0"/>
        <v>1.8475260693336175</v>
      </c>
      <c r="K8">
        <f t="shared" si="1"/>
        <v>1.5700137671705556</v>
      </c>
      <c r="N8">
        <v>7</v>
      </c>
      <c r="O8">
        <v>3275.335</v>
      </c>
      <c r="P8">
        <v>6.4630000000000001</v>
      </c>
      <c r="R8">
        <f t="shared" si="2"/>
        <v>1.0145048514699988</v>
      </c>
      <c r="T8">
        <v>7</v>
      </c>
      <c r="U8">
        <v>968.74900000000002</v>
      </c>
      <c r="V8">
        <v>3.5030000000000001</v>
      </c>
      <c r="X8">
        <f t="shared" si="3"/>
        <v>0.30006108088385158</v>
      </c>
      <c r="Z8">
        <v>7</v>
      </c>
      <c r="AA8">
        <v>5199.1629999999996</v>
      </c>
      <c r="AB8">
        <v>7.1859999999999999</v>
      </c>
      <c r="AD8">
        <f t="shared" si="4"/>
        <v>1.6103928566339971</v>
      </c>
    </row>
    <row r="9" spans="1:30" x14ac:dyDescent="0.2">
      <c r="A9" t="s">
        <v>5</v>
      </c>
      <c r="B9">
        <v>8</v>
      </c>
      <c r="C9">
        <v>2097.0419999999999</v>
      </c>
      <c r="D9">
        <v>3.43</v>
      </c>
      <c r="F9">
        <v>8</v>
      </c>
      <c r="G9">
        <v>4966.2129999999997</v>
      </c>
      <c r="H9">
        <v>6.4080000000000004</v>
      </c>
      <c r="J9">
        <f t="shared" si="0"/>
        <v>2.368199110938169</v>
      </c>
      <c r="K9">
        <f t="shared" si="1"/>
        <v>2.0124778043944329</v>
      </c>
      <c r="N9">
        <v>8</v>
      </c>
      <c r="O9">
        <v>3300.627</v>
      </c>
      <c r="P9">
        <v>6.5129999999999999</v>
      </c>
      <c r="R9">
        <f t="shared" si="2"/>
        <v>1.5739441556249232</v>
      </c>
      <c r="T9">
        <v>8</v>
      </c>
      <c r="U9">
        <v>453.79899999999998</v>
      </c>
      <c r="V9">
        <v>1.641</v>
      </c>
      <c r="X9">
        <f t="shared" si="3"/>
        <v>0.21639957616490274</v>
      </c>
      <c r="Z9">
        <v>8</v>
      </c>
      <c r="AA9">
        <v>3518.5059999999999</v>
      </c>
      <c r="AB9">
        <v>4.8630000000000004</v>
      </c>
      <c r="AD9">
        <f t="shared" si="4"/>
        <v>1.6778424084973025</v>
      </c>
    </row>
    <row r="10" spans="1:30" x14ac:dyDescent="0.2">
      <c r="A10" t="s">
        <v>4</v>
      </c>
      <c r="B10">
        <v>9</v>
      </c>
      <c r="C10">
        <v>3520.627</v>
      </c>
      <c r="D10">
        <v>5.7590000000000003</v>
      </c>
      <c r="F10">
        <v>9</v>
      </c>
      <c r="G10">
        <v>3123.2130000000002</v>
      </c>
      <c r="H10">
        <v>4.03</v>
      </c>
      <c r="J10">
        <f t="shared" si="0"/>
        <v>0.88711840248910212</v>
      </c>
      <c r="K10">
        <f t="shared" si="1"/>
        <v>0.75386655059249252</v>
      </c>
      <c r="N10">
        <v>9</v>
      </c>
      <c r="O10">
        <v>2146.799</v>
      </c>
      <c r="P10">
        <v>4.2359999999999998</v>
      </c>
      <c r="R10">
        <f t="shared" si="2"/>
        <v>0.60977746293486923</v>
      </c>
      <c r="T10">
        <v>9</v>
      </c>
      <c r="U10">
        <v>2567.7489999999998</v>
      </c>
      <c r="V10">
        <v>9.2850000000000001</v>
      </c>
      <c r="X10">
        <f t="shared" si="3"/>
        <v>0.72934423328571862</v>
      </c>
      <c r="Z10">
        <v>9</v>
      </c>
      <c r="AA10">
        <v>2458.5059999999999</v>
      </c>
      <c r="AB10">
        <v>3.3980000000000001</v>
      </c>
      <c r="AD10">
        <f t="shared" si="4"/>
        <v>0.69831481721863742</v>
      </c>
    </row>
    <row r="11" spans="1:30" x14ac:dyDescent="0.2">
      <c r="A11" t="s">
        <v>6</v>
      </c>
      <c r="B11">
        <v>10</v>
      </c>
      <c r="C11">
        <v>3066.335</v>
      </c>
      <c r="D11">
        <v>5.016</v>
      </c>
      <c r="F11">
        <v>10</v>
      </c>
      <c r="G11">
        <v>4917.6270000000004</v>
      </c>
      <c r="H11">
        <v>6.3449999999999998</v>
      </c>
      <c r="J11">
        <f t="shared" si="0"/>
        <v>1.6037474705144743</v>
      </c>
      <c r="K11">
        <f t="shared" si="1"/>
        <v>1.3628525462056731</v>
      </c>
      <c r="N11">
        <v>10</v>
      </c>
      <c r="O11">
        <v>4299.2129999999997</v>
      </c>
      <c r="P11">
        <v>8.4830000000000005</v>
      </c>
      <c r="R11">
        <f t="shared" si="2"/>
        <v>1.4020689194103058</v>
      </c>
      <c r="T11">
        <v>10</v>
      </c>
      <c r="U11">
        <v>1944.335</v>
      </c>
      <c r="V11">
        <v>7.0309999999999997</v>
      </c>
      <c r="X11">
        <f t="shared" si="3"/>
        <v>0.63409086091376188</v>
      </c>
      <c r="Z11">
        <v>10</v>
      </c>
      <c r="AA11">
        <v>3748.2840000000001</v>
      </c>
      <c r="AB11">
        <v>5.181</v>
      </c>
      <c r="AD11">
        <f t="shared" si="4"/>
        <v>1.2223987268188246</v>
      </c>
    </row>
    <row r="12" spans="1:30" x14ac:dyDescent="0.2">
      <c r="A12" t="s">
        <v>4</v>
      </c>
      <c r="B12">
        <v>11</v>
      </c>
      <c r="C12">
        <v>3590.4560000000001</v>
      </c>
      <c r="D12">
        <v>5.8730000000000002</v>
      </c>
      <c r="F12">
        <v>11</v>
      </c>
      <c r="G12">
        <v>5054.4560000000001</v>
      </c>
      <c r="H12">
        <v>6.5220000000000002</v>
      </c>
      <c r="J12">
        <f t="shared" si="0"/>
        <v>1.4077476509947482</v>
      </c>
      <c r="K12">
        <f t="shared" si="1"/>
        <v>1.1962933727700817</v>
      </c>
      <c r="N12">
        <v>11</v>
      </c>
      <c r="O12">
        <v>3065.0920000000001</v>
      </c>
      <c r="P12">
        <v>6.048</v>
      </c>
      <c r="R12">
        <f t="shared" si="2"/>
        <v>0.85367763871775615</v>
      </c>
      <c r="T12">
        <v>11</v>
      </c>
      <c r="U12">
        <v>1046.0920000000001</v>
      </c>
      <c r="V12">
        <v>3.7829999999999999</v>
      </c>
      <c r="X12">
        <f t="shared" si="3"/>
        <v>0.29135352166967093</v>
      </c>
      <c r="Z12">
        <v>11</v>
      </c>
      <c r="AA12">
        <v>4975.2129999999997</v>
      </c>
      <c r="AB12">
        <v>6.8760000000000003</v>
      </c>
      <c r="AD12">
        <f t="shared" si="4"/>
        <v>1.3856771953200373</v>
      </c>
    </row>
    <row r="13" spans="1:30" x14ac:dyDescent="0.2">
      <c r="A13" t="s">
        <v>6</v>
      </c>
      <c r="B13">
        <v>12</v>
      </c>
      <c r="C13">
        <v>3479.5059999999999</v>
      </c>
      <c r="D13">
        <v>5.6909999999999998</v>
      </c>
      <c r="F13">
        <v>12</v>
      </c>
      <c r="G13">
        <v>2942.0920000000001</v>
      </c>
      <c r="H13">
        <v>3.7959999999999998</v>
      </c>
      <c r="J13">
        <f t="shared" si="0"/>
        <v>0.84554876468096341</v>
      </c>
      <c r="K13">
        <f t="shared" si="1"/>
        <v>0.71854098483275652</v>
      </c>
      <c r="N13">
        <v>12</v>
      </c>
      <c r="O13">
        <v>3154.5770000000002</v>
      </c>
      <c r="P13">
        <v>6.2249999999999996</v>
      </c>
      <c r="R13">
        <f t="shared" si="2"/>
        <v>0.90661634151514625</v>
      </c>
      <c r="T13">
        <v>12</v>
      </c>
      <c r="U13">
        <v>4356.335</v>
      </c>
      <c r="V13">
        <v>15.753</v>
      </c>
      <c r="X13">
        <f t="shared" si="3"/>
        <v>1.2519981284699611</v>
      </c>
      <c r="Z13">
        <v>12</v>
      </c>
      <c r="AA13">
        <v>2490.7489999999998</v>
      </c>
      <c r="AB13">
        <v>3.4430000000000001</v>
      </c>
      <c r="AD13">
        <f t="shared" si="4"/>
        <v>0.71583408679278038</v>
      </c>
    </row>
    <row r="14" spans="1:30" x14ac:dyDescent="0.2">
      <c r="A14" t="s">
        <v>4</v>
      </c>
      <c r="B14">
        <v>13</v>
      </c>
      <c r="C14">
        <v>3836.0920000000001</v>
      </c>
      <c r="D14">
        <v>6.2750000000000004</v>
      </c>
      <c r="F14">
        <v>13</v>
      </c>
      <c r="G14">
        <v>3197.92</v>
      </c>
      <c r="H14">
        <v>4.1260000000000003</v>
      </c>
      <c r="J14">
        <f t="shared" si="0"/>
        <v>0.8336400691120025</v>
      </c>
      <c r="K14">
        <f t="shared" si="1"/>
        <v>0.70842106484751088</v>
      </c>
      <c r="N14">
        <v>13</v>
      </c>
      <c r="O14">
        <v>3989.799</v>
      </c>
      <c r="P14">
        <v>7.8730000000000002</v>
      </c>
      <c r="R14">
        <f t="shared" si="2"/>
        <v>1.0400686427749908</v>
      </c>
      <c r="T14">
        <v>13</v>
      </c>
      <c r="U14">
        <v>1910.749</v>
      </c>
      <c r="V14">
        <v>6.91</v>
      </c>
      <c r="X14">
        <f t="shared" si="3"/>
        <v>0.49809780370230955</v>
      </c>
      <c r="Z14">
        <v>13</v>
      </c>
      <c r="AA14">
        <v>2784.0419999999999</v>
      </c>
      <c r="AB14">
        <v>3.8479999999999999</v>
      </c>
      <c r="AD14">
        <f t="shared" si="4"/>
        <v>0.72574953885360405</v>
      </c>
    </row>
    <row r="15" spans="1:30" x14ac:dyDescent="0.2">
      <c r="A15" t="s">
        <v>6</v>
      </c>
      <c r="B15">
        <v>14</v>
      </c>
      <c r="C15">
        <v>3518.0419999999999</v>
      </c>
      <c r="D15">
        <v>5.7539999999999996</v>
      </c>
      <c r="F15">
        <v>14</v>
      </c>
      <c r="G15">
        <v>4361.335</v>
      </c>
      <c r="H15">
        <v>5.6280000000000001</v>
      </c>
      <c r="J15">
        <f t="shared" si="0"/>
        <v>1.239705211023632</v>
      </c>
      <c r="K15">
        <f t="shared" si="1"/>
        <v>1.0534921703390143</v>
      </c>
      <c r="N15">
        <v>14</v>
      </c>
      <c r="O15">
        <v>4979.0420000000004</v>
      </c>
      <c r="P15">
        <v>9.8249999999999993</v>
      </c>
      <c r="R15">
        <f t="shared" si="2"/>
        <v>1.415287822032824</v>
      </c>
      <c r="T15">
        <v>14</v>
      </c>
      <c r="U15">
        <v>2325.4560000000001</v>
      </c>
      <c r="V15">
        <v>8.4090000000000007</v>
      </c>
      <c r="X15">
        <f t="shared" si="3"/>
        <v>0.66100859512194576</v>
      </c>
      <c r="Z15">
        <v>14</v>
      </c>
      <c r="AA15">
        <v>4092.87</v>
      </c>
      <c r="AB15">
        <v>5.657</v>
      </c>
      <c r="AD15">
        <f t="shared" si="4"/>
        <v>1.1633942971687092</v>
      </c>
    </row>
    <row r="16" spans="1:30" x14ac:dyDescent="0.2">
      <c r="A16" t="s">
        <v>4</v>
      </c>
      <c r="B16">
        <v>15</v>
      </c>
      <c r="C16">
        <v>2588.5059999999999</v>
      </c>
      <c r="D16">
        <v>4.234</v>
      </c>
      <c r="F16">
        <v>15</v>
      </c>
      <c r="G16">
        <v>4145.7489999999998</v>
      </c>
      <c r="H16">
        <v>5.3490000000000002</v>
      </c>
      <c r="J16">
        <f t="shared" si="0"/>
        <v>1.60159914638019</v>
      </c>
      <c r="K16">
        <f t="shared" si="1"/>
        <v>1.361026916503794</v>
      </c>
      <c r="N16">
        <v>15</v>
      </c>
      <c r="O16">
        <v>3697.2840000000001</v>
      </c>
      <c r="P16">
        <v>7.2960000000000003</v>
      </c>
      <c r="R16">
        <f t="shared" si="2"/>
        <v>1.4283466988293634</v>
      </c>
      <c r="T16">
        <v>15</v>
      </c>
      <c r="U16">
        <v>481.678</v>
      </c>
      <c r="V16">
        <v>1.742</v>
      </c>
      <c r="X16">
        <f t="shared" si="3"/>
        <v>0.18608340100428589</v>
      </c>
      <c r="Z16">
        <v>15</v>
      </c>
      <c r="AA16">
        <v>4346.335</v>
      </c>
      <c r="AB16">
        <v>6.0069999999999997</v>
      </c>
      <c r="AD16">
        <f t="shared" si="4"/>
        <v>1.6790901778863947</v>
      </c>
    </row>
    <row r="17" spans="1:30" x14ac:dyDescent="0.2">
      <c r="A17" t="s">
        <v>6</v>
      </c>
      <c r="B17">
        <v>16</v>
      </c>
      <c r="C17">
        <v>2423.799</v>
      </c>
      <c r="D17">
        <v>3.9649999999999999</v>
      </c>
      <c r="F17">
        <v>16</v>
      </c>
      <c r="G17">
        <v>4195.92</v>
      </c>
      <c r="H17">
        <v>5.4139999999999997</v>
      </c>
      <c r="J17">
        <f t="shared" si="0"/>
        <v>1.7311336459830209</v>
      </c>
      <c r="K17">
        <f t="shared" si="1"/>
        <v>1.4711043606468948</v>
      </c>
      <c r="N17">
        <v>16</v>
      </c>
      <c r="O17">
        <v>3674.4560000000001</v>
      </c>
      <c r="P17">
        <v>7.2510000000000003</v>
      </c>
      <c r="R17">
        <f t="shared" si="2"/>
        <v>1.515990393592868</v>
      </c>
      <c r="T17">
        <v>16</v>
      </c>
      <c r="U17">
        <v>569.678</v>
      </c>
      <c r="V17">
        <v>2.06</v>
      </c>
      <c r="X17">
        <f t="shared" si="3"/>
        <v>0.23503516586977716</v>
      </c>
      <c r="Z17">
        <v>16</v>
      </c>
      <c r="AA17">
        <v>4212.6270000000004</v>
      </c>
      <c r="AB17">
        <v>5.8220000000000001</v>
      </c>
      <c r="AD17">
        <f t="shared" si="4"/>
        <v>1.7380265442802809</v>
      </c>
    </row>
    <row r="18" spans="1:30" x14ac:dyDescent="0.2">
      <c r="A18" t="s">
        <v>5</v>
      </c>
      <c r="B18">
        <v>17</v>
      </c>
      <c r="C18">
        <v>2321.5059999999999</v>
      </c>
      <c r="D18">
        <v>3.7970000000000002</v>
      </c>
      <c r="F18">
        <v>17</v>
      </c>
      <c r="G18">
        <v>3841.3850000000002</v>
      </c>
      <c r="H18">
        <v>4.9569999999999999</v>
      </c>
      <c r="J18">
        <f t="shared" si="0"/>
        <v>1.6546952710869585</v>
      </c>
      <c r="K18">
        <f t="shared" si="1"/>
        <v>1.4061476041935212</v>
      </c>
      <c r="N18">
        <v>17</v>
      </c>
      <c r="O18">
        <v>3466.627</v>
      </c>
      <c r="P18">
        <v>6.8410000000000002</v>
      </c>
      <c r="R18">
        <f t="shared" si="2"/>
        <v>1.4932664399747406</v>
      </c>
      <c r="T18">
        <v>17</v>
      </c>
      <c r="U18">
        <v>1163.4559999999999</v>
      </c>
      <c r="V18">
        <v>4.2069999999999999</v>
      </c>
      <c r="X18">
        <f t="shared" si="3"/>
        <v>0.50116433039587227</v>
      </c>
      <c r="Z18">
        <v>17</v>
      </c>
      <c r="AA18">
        <v>4018.0920000000001</v>
      </c>
      <c r="AB18">
        <v>5.5540000000000003</v>
      </c>
      <c r="AD18">
        <f t="shared" si="4"/>
        <v>1.7308126707404592</v>
      </c>
    </row>
    <row r="19" spans="1:30" x14ac:dyDescent="0.2">
      <c r="A19" t="s">
        <v>6</v>
      </c>
      <c r="B19">
        <v>18</v>
      </c>
      <c r="C19">
        <v>1660.335</v>
      </c>
      <c r="D19">
        <v>2.7160000000000002</v>
      </c>
      <c r="F19">
        <v>18</v>
      </c>
      <c r="G19">
        <v>4606.335</v>
      </c>
      <c r="H19">
        <v>5.944</v>
      </c>
      <c r="J19">
        <f t="shared" si="0"/>
        <v>2.7743407203967871</v>
      </c>
      <c r="K19">
        <f t="shared" si="1"/>
        <v>2.357613891432615</v>
      </c>
      <c r="N19">
        <v>18</v>
      </c>
      <c r="O19">
        <v>1126.92</v>
      </c>
      <c r="P19">
        <v>2.2240000000000002</v>
      </c>
      <c r="R19">
        <f t="shared" si="2"/>
        <v>0.67873049715870593</v>
      </c>
      <c r="T19">
        <v>18</v>
      </c>
      <c r="U19">
        <v>386.971</v>
      </c>
      <c r="V19">
        <v>1.399</v>
      </c>
      <c r="X19">
        <f t="shared" si="3"/>
        <v>0.23306802542860325</v>
      </c>
      <c r="Z19">
        <v>18</v>
      </c>
      <c r="AA19">
        <v>4124.2129999999997</v>
      </c>
      <c r="AB19">
        <v>5.7</v>
      </c>
      <c r="AD19">
        <f t="shared" si="4"/>
        <v>2.4839643806822114</v>
      </c>
    </row>
    <row r="21" spans="1:30" x14ac:dyDescent="0.2">
      <c r="J21">
        <f>AVERAGE(J2,J4,J6,J8,J10,J12,J14,J16)</f>
        <v>1.1767578781574561</v>
      </c>
      <c r="L21">
        <f>AVERAGE(K2,K4,K6,K8,K10,K12,K14,K16)</f>
        <v>1</v>
      </c>
      <c r="M21">
        <f>STDEV(K2,K4,K6,K8,K10,K12,K14,K16)</f>
        <v>0.35303295388901401</v>
      </c>
    </row>
    <row r="22" spans="1:30" x14ac:dyDescent="0.2">
      <c r="L22">
        <f>AVERAGE(K3,K5,K7,K9,K18)</f>
        <v>1.2956254476748441</v>
      </c>
      <c r="M22">
        <f>STDEV(K3,K5,K7,K9,K18)</f>
        <v>0.50029061367411221</v>
      </c>
    </row>
    <row r="23" spans="1:30" x14ac:dyDescent="0.2">
      <c r="L23">
        <f>AVERAGE(K11,K13,K15,K17,K19)</f>
        <v>1.3927207906913908</v>
      </c>
      <c r="M23">
        <f>STDEV(K11,K13,K15,K17,K19)</f>
        <v>0.61393184870541728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49D7-A02B-A74D-A50B-C394F63006B8}">
  <dimension ref="A1:B19"/>
  <sheetViews>
    <sheetView workbookViewId="0">
      <selection sqref="A1:B19"/>
    </sheetView>
  </sheetViews>
  <sheetFormatPr baseColWidth="10" defaultRowHeight="16" x14ac:dyDescent="0.2"/>
  <sheetData>
    <row r="1" spans="1:2" x14ac:dyDescent="0.2">
      <c r="A1" t="s">
        <v>12</v>
      </c>
      <c r="B1" t="s">
        <v>11</v>
      </c>
    </row>
    <row r="2" spans="1:2" x14ac:dyDescent="0.2">
      <c r="A2" t="s">
        <v>4</v>
      </c>
      <c r="B2">
        <v>1.3518531756967003</v>
      </c>
    </row>
    <row r="3" spans="1:2" x14ac:dyDescent="0.2">
      <c r="A3" t="s">
        <v>5</v>
      </c>
      <c r="B3">
        <v>1.3708117406942648</v>
      </c>
    </row>
    <row r="4" spans="1:2" x14ac:dyDescent="0.2">
      <c r="A4" t="s">
        <v>4</v>
      </c>
      <c r="B4">
        <v>0.70162276445400118</v>
      </c>
    </row>
    <row r="5" spans="1:2" x14ac:dyDescent="0.2">
      <c r="A5" t="s">
        <v>5</v>
      </c>
      <c r="B5">
        <v>0.771607688843155</v>
      </c>
    </row>
    <row r="6" spans="1:2" x14ac:dyDescent="0.2">
      <c r="A6" t="s">
        <v>4</v>
      </c>
      <c r="B6">
        <v>0.94444948263653017</v>
      </c>
    </row>
    <row r="7" spans="1:2" x14ac:dyDescent="0.2">
      <c r="A7" t="s">
        <v>5</v>
      </c>
      <c r="B7">
        <v>1.3192145168487064</v>
      </c>
    </row>
    <row r="8" spans="1:2" x14ac:dyDescent="0.2">
      <c r="A8" t="s">
        <v>4</v>
      </c>
      <c r="B8">
        <v>1.6103928566339971</v>
      </c>
    </row>
    <row r="9" spans="1:2" x14ac:dyDescent="0.2">
      <c r="A9" t="s">
        <v>5</v>
      </c>
      <c r="B9">
        <v>1.6778424084973025</v>
      </c>
    </row>
    <row r="10" spans="1:2" x14ac:dyDescent="0.2">
      <c r="A10" t="s">
        <v>4</v>
      </c>
      <c r="B10">
        <v>0.69831481721863742</v>
      </c>
    </row>
    <row r="11" spans="1:2" x14ac:dyDescent="0.2">
      <c r="A11" t="s">
        <v>6</v>
      </c>
      <c r="B11">
        <v>1.2223987268188246</v>
      </c>
    </row>
    <row r="12" spans="1:2" x14ac:dyDescent="0.2">
      <c r="A12" t="s">
        <v>4</v>
      </c>
      <c r="B12">
        <v>1.3856771953200373</v>
      </c>
    </row>
    <row r="13" spans="1:2" x14ac:dyDescent="0.2">
      <c r="A13" t="s">
        <v>6</v>
      </c>
      <c r="B13">
        <v>0.71583408679278038</v>
      </c>
    </row>
    <row r="14" spans="1:2" x14ac:dyDescent="0.2">
      <c r="A14" t="s">
        <v>4</v>
      </c>
      <c r="B14">
        <v>0.72574953885360405</v>
      </c>
    </row>
    <row r="15" spans="1:2" x14ac:dyDescent="0.2">
      <c r="A15" t="s">
        <v>6</v>
      </c>
      <c r="B15">
        <v>1.1633942971687092</v>
      </c>
    </row>
    <row r="16" spans="1:2" x14ac:dyDescent="0.2">
      <c r="A16" t="s">
        <v>4</v>
      </c>
      <c r="B16">
        <v>1.6790901778863947</v>
      </c>
    </row>
    <row r="17" spans="1:2" x14ac:dyDescent="0.2">
      <c r="A17" t="s">
        <v>6</v>
      </c>
      <c r="B17">
        <v>1.7380265442802809</v>
      </c>
    </row>
    <row r="18" spans="1:2" x14ac:dyDescent="0.2">
      <c r="A18" t="s">
        <v>5</v>
      </c>
      <c r="B18">
        <v>1.7308126707404592</v>
      </c>
    </row>
    <row r="19" spans="1:2" x14ac:dyDescent="0.2">
      <c r="A19" t="s">
        <v>6</v>
      </c>
      <c r="B19">
        <v>2.4839643806822114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965C-61A0-614C-A96B-91288753B61C}">
  <dimension ref="A1:B19"/>
  <sheetViews>
    <sheetView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12</v>
      </c>
      <c r="B1" t="s">
        <v>11</v>
      </c>
    </row>
    <row r="2" spans="1:2" x14ac:dyDescent="0.2">
      <c r="A2" t="s">
        <v>4</v>
      </c>
      <c r="B2">
        <v>0.28544147166020062</v>
      </c>
    </row>
    <row r="3" spans="1:2" x14ac:dyDescent="0.2">
      <c r="A3" t="s">
        <v>5</v>
      </c>
      <c r="B3">
        <v>0.11513570675565218</v>
      </c>
    </row>
    <row r="4" spans="1:2" x14ac:dyDescent="0.2">
      <c r="A4" t="s">
        <v>4</v>
      </c>
      <c r="B4">
        <v>0.29635139257768722</v>
      </c>
    </row>
    <row r="5" spans="1:2" x14ac:dyDescent="0.2">
      <c r="A5" t="s">
        <v>5</v>
      </c>
      <c r="B5">
        <v>0.54858868925479765</v>
      </c>
    </row>
    <row r="6" spans="1:2" x14ac:dyDescent="0.2">
      <c r="A6" t="s">
        <v>4</v>
      </c>
      <c r="B6">
        <v>0.49968873860950702</v>
      </c>
    </row>
    <row r="7" spans="1:2" x14ac:dyDescent="0.2">
      <c r="A7" t="s">
        <v>5</v>
      </c>
      <c r="B7">
        <v>0.35531545258192948</v>
      </c>
    </row>
    <row r="8" spans="1:2" x14ac:dyDescent="0.2">
      <c r="A8" t="s">
        <v>4</v>
      </c>
      <c r="B8">
        <v>0.30006108088385158</v>
      </c>
    </row>
    <row r="9" spans="1:2" x14ac:dyDescent="0.2">
      <c r="A9" t="s">
        <v>5</v>
      </c>
      <c r="B9">
        <v>0.21639957616490274</v>
      </c>
    </row>
    <row r="10" spans="1:2" x14ac:dyDescent="0.2">
      <c r="A10" t="s">
        <v>4</v>
      </c>
      <c r="B10">
        <v>0.72934423328571862</v>
      </c>
    </row>
    <row r="11" spans="1:2" x14ac:dyDescent="0.2">
      <c r="A11" t="s">
        <v>6</v>
      </c>
      <c r="B11">
        <v>0.63409086091376188</v>
      </c>
    </row>
    <row r="12" spans="1:2" x14ac:dyDescent="0.2">
      <c r="A12" t="s">
        <v>4</v>
      </c>
      <c r="B12">
        <v>0.29135352166967093</v>
      </c>
    </row>
    <row r="13" spans="1:2" x14ac:dyDescent="0.2">
      <c r="A13" t="s">
        <v>6</v>
      </c>
      <c r="B13">
        <v>1.2519981284699611</v>
      </c>
    </row>
    <row r="14" spans="1:2" x14ac:dyDescent="0.2">
      <c r="A14" t="s">
        <v>4</v>
      </c>
      <c r="B14">
        <v>0.49809780370230955</v>
      </c>
    </row>
    <row r="15" spans="1:2" x14ac:dyDescent="0.2">
      <c r="A15" t="s">
        <v>6</v>
      </c>
      <c r="B15">
        <v>0.66100859512194576</v>
      </c>
    </row>
    <row r="16" spans="1:2" x14ac:dyDescent="0.2">
      <c r="A16" t="s">
        <v>4</v>
      </c>
      <c r="B16">
        <v>0.18608340100428589</v>
      </c>
    </row>
    <row r="17" spans="1:2" x14ac:dyDescent="0.2">
      <c r="A17" t="s">
        <v>6</v>
      </c>
      <c r="B17">
        <v>0.23503516586977716</v>
      </c>
    </row>
    <row r="18" spans="1:2" x14ac:dyDescent="0.2">
      <c r="A18" t="s">
        <v>5</v>
      </c>
      <c r="B18">
        <v>0.50116433039587227</v>
      </c>
    </row>
    <row r="19" spans="1:2" x14ac:dyDescent="0.2">
      <c r="A19" t="s">
        <v>6</v>
      </c>
      <c r="B19">
        <v>0.23306802542860325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D295-0A75-4549-B238-B4250DFCABCB}">
  <dimension ref="A1:B19"/>
  <sheetViews>
    <sheetView workbookViewId="0">
      <selection sqref="A1:A19"/>
    </sheetView>
  </sheetViews>
  <sheetFormatPr baseColWidth="10" defaultRowHeight="16" x14ac:dyDescent="0.2"/>
  <sheetData>
    <row r="1" spans="1:2" x14ac:dyDescent="0.2">
      <c r="A1" t="s">
        <v>12</v>
      </c>
      <c r="B1" t="s">
        <v>11</v>
      </c>
    </row>
    <row r="2" spans="1:2" x14ac:dyDescent="0.2">
      <c r="A2" t="s">
        <v>4</v>
      </c>
      <c r="B2">
        <v>0.18566610890501428</v>
      </c>
    </row>
    <row r="3" spans="1:2" x14ac:dyDescent="0.2">
      <c r="A3" t="s">
        <v>5</v>
      </c>
      <c r="B3">
        <v>0.41129653415871903</v>
      </c>
    </row>
    <row r="4" spans="1:2" x14ac:dyDescent="0.2">
      <c r="A4" t="s">
        <v>4</v>
      </c>
      <c r="B4">
        <v>0.17038499453415487</v>
      </c>
    </row>
    <row r="5" spans="1:2" x14ac:dyDescent="0.2">
      <c r="A5" t="s">
        <v>5</v>
      </c>
      <c r="B5">
        <v>0.48578264417780237</v>
      </c>
    </row>
    <row r="6" spans="1:2" x14ac:dyDescent="0.2">
      <c r="A6" t="s">
        <v>4</v>
      </c>
      <c r="B6">
        <v>0.36244831556523072</v>
      </c>
    </row>
    <row r="7" spans="1:2" x14ac:dyDescent="0.2">
      <c r="A7" t="s">
        <v>5</v>
      </c>
      <c r="B7">
        <v>0.91610022461444385</v>
      </c>
    </row>
    <row r="8" spans="1:2" x14ac:dyDescent="0.2">
      <c r="A8" t="s">
        <v>4</v>
      </c>
      <c r="B8">
        <v>1.0145048514699988</v>
      </c>
    </row>
    <row r="9" spans="1:2" x14ac:dyDescent="0.2">
      <c r="A9" t="s">
        <v>5</v>
      </c>
      <c r="B9">
        <v>1.5739441556249232</v>
      </c>
    </row>
    <row r="10" spans="1:2" x14ac:dyDescent="0.2">
      <c r="A10" t="s">
        <v>4</v>
      </c>
      <c r="B10">
        <v>0.60977746293486923</v>
      </c>
    </row>
    <row r="11" spans="1:2" x14ac:dyDescent="0.2">
      <c r="A11" t="s">
        <v>6</v>
      </c>
      <c r="B11">
        <v>1.4020689194103058</v>
      </c>
    </row>
    <row r="12" spans="1:2" x14ac:dyDescent="0.2">
      <c r="A12" t="s">
        <v>4</v>
      </c>
      <c r="B12">
        <v>0.85367763871775615</v>
      </c>
    </row>
    <row r="13" spans="1:2" x14ac:dyDescent="0.2">
      <c r="A13" t="s">
        <v>6</v>
      </c>
      <c r="B13">
        <v>0.90661634151514625</v>
      </c>
    </row>
    <row r="14" spans="1:2" x14ac:dyDescent="0.2">
      <c r="A14" t="s">
        <v>4</v>
      </c>
      <c r="B14">
        <v>1.0400686427749908</v>
      </c>
    </row>
    <row r="15" spans="1:2" x14ac:dyDescent="0.2">
      <c r="A15" t="s">
        <v>6</v>
      </c>
      <c r="B15">
        <v>1.415287822032824</v>
      </c>
    </row>
    <row r="16" spans="1:2" x14ac:dyDescent="0.2">
      <c r="A16" t="s">
        <v>4</v>
      </c>
      <c r="B16">
        <v>1.4283466988293634</v>
      </c>
    </row>
    <row r="17" spans="1:2" x14ac:dyDescent="0.2">
      <c r="A17" t="s">
        <v>6</v>
      </c>
      <c r="B17">
        <v>1.515990393592868</v>
      </c>
    </row>
    <row r="18" spans="1:2" x14ac:dyDescent="0.2">
      <c r="A18" t="s">
        <v>5</v>
      </c>
      <c r="B18">
        <v>1.4932664399747406</v>
      </c>
    </row>
    <row r="19" spans="1:2" x14ac:dyDescent="0.2">
      <c r="A19" t="s">
        <v>6</v>
      </c>
      <c r="B19">
        <v>0.67873049715870593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2632-0C30-9F41-B85A-9D6482F0915C}">
  <dimension ref="A1:B19"/>
  <sheetViews>
    <sheetView workbookViewId="0">
      <selection sqref="A1:B19"/>
    </sheetView>
  </sheetViews>
  <sheetFormatPr baseColWidth="10" defaultRowHeight="16" x14ac:dyDescent="0.2"/>
  <sheetData>
    <row r="1" spans="1:2" x14ac:dyDescent="0.2">
      <c r="A1" t="s">
        <v>8</v>
      </c>
      <c r="B1" t="s">
        <v>2</v>
      </c>
    </row>
    <row r="2" spans="1:2" x14ac:dyDescent="0.2">
      <c r="A2" t="s">
        <v>4</v>
      </c>
      <c r="B2">
        <v>1.2023520910722638</v>
      </c>
    </row>
    <row r="3" spans="1:2" x14ac:dyDescent="0.2">
      <c r="A3" t="s">
        <v>5</v>
      </c>
      <c r="B3">
        <v>1.366312303432291</v>
      </c>
    </row>
    <row r="4" spans="1:2" x14ac:dyDescent="0.2">
      <c r="A4" t="s">
        <v>4</v>
      </c>
      <c r="B4">
        <v>0.63920110647650386</v>
      </c>
    </row>
    <row r="5" spans="1:2" x14ac:dyDescent="0.2">
      <c r="A5" t="s">
        <v>5</v>
      </c>
      <c r="B5">
        <v>0.72940887114883002</v>
      </c>
    </row>
    <row r="6" spans="1:2" x14ac:dyDescent="0.2">
      <c r="A6" t="s">
        <v>4</v>
      </c>
      <c r="B6">
        <v>0.99487848940122114</v>
      </c>
    </row>
    <row r="7" spans="1:2" x14ac:dyDescent="0.2">
      <c r="A7" t="s">
        <v>5</v>
      </c>
      <c r="B7">
        <v>1.504571706857021</v>
      </c>
    </row>
    <row r="8" spans="1:2" x14ac:dyDescent="0.2">
      <c r="A8" t="s">
        <v>4</v>
      </c>
      <c r="B8">
        <v>1.8475260693336175</v>
      </c>
    </row>
    <row r="9" spans="1:2" x14ac:dyDescent="0.2">
      <c r="A9" t="s">
        <v>5</v>
      </c>
      <c r="B9">
        <v>2.368199110938169</v>
      </c>
    </row>
    <row r="10" spans="1:2" x14ac:dyDescent="0.2">
      <c r="A10" t="s">
        <v>4</v>
      </c>
      <c r="B10">
        <v>0.88711840248910212</v>
      </c>
    </row>
    <row r="11" spans="1:2" x14ac:dyDescent="0.2">
      <c r="A11" t="s">
        <v>6</v>
      </c>
      <c r="B11">
        <v>1.6037474705144743</v>
      </c>
    </row>
    <row r="12" spans="1:2" x14ac:dyDescent="0.2">
      <c r="A12" t="s">
        <v>4</v>
      </c>
      <c r="B12">
        <v>1.4077476509947482</v>
      </c>
    </row>
    <row r="13" spans="1:2" x14ac:dyDescent="0.2">
      <c r="A13" t="s">
        <v>6</v>
      </c>
      <c r="B13">
        <v>0.84554876468096341</v>
      </c>
    </row>
    <row r="14" spans="1:2" x14ac:dyDescent="0.2">
      <c r="A14" t="s">
        <v>4</v>
      </c>
      <c r="B14">
        <v>0.8336400691120025</v>
      </c>
    </row>
    <row r="15" spans="1:2" x14ac:dyDescent="0.2">
      <c r="A15" t="s">
        <v>6</v>
      </c>
      <c r="B15">
        <v>1.239705211023632</v>
      </c>
    </row>
    <row r="16" spans="1:2" x14ac:dyDescent="0.2">
      <c r="A16" t="s">
        <v>4</v>
      </c>
      <c r="B16">
        <v>1.60159914638019</v>
      </c>
    </row>
    <row r="17" spans="1:2" x14ac:dyDescent="0.2">
      <c r="A17" t="s">
        <v>6</v>
      </c>
      <c r="B17">
        <v>1.7311336459830209</v>
      </c>
    </row>
    <row r="18" spans="1:2" x14ac:dyDescent="0.2">
      <c r="A18" t="s">
        <v>5</v>
      </c>
      <c r="B18">
        <v>1.6546952710869585</v>
      </c>
    </row>
    <row r="19" spans="1:2" x14ac:dyDescent="0.2">
      <c r="A19" t="s">
        <v>6</v>
      </c>
      <c r="B19">
        <v>2.7743407203967871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Actb_over_Fmrp</vt:lpstr>
      <vt:lpstr>Nono_bottom_over_Fmrp</vt:lpstr>
      <vt:lpstr>Nono_top_over_Fmrp</vt:lpstr>
      <vt:lpstr>Ncl_over_Fmrp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Aryal</dc:creator>
  <cp:lastModifiedBy>Sameer Aryal</cp:lastModifiedBy>
  <dcterms:created xsi:type="dcterms:W3CDTF">2020-12-01T18:30:40Z</dcterms:created>
  <dcterms:modified xsi:type="dcterms:W3CDTF">2020-12-07T15:19:30Z</dcterms:modified>
</cp:coreProperties>
</file>